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https://tu-my.sharepoint.com/personal/gwilsonkopko_towson_edu/Documents/Research/Publications/Comp studies/"/>
    </mc:Choice>
  </mc:AlternateContent>
  <xr:revisionPtr revIDLastSave="391" documentId="8_{F2F21633-385C-5345-B2F2-E925954079D3}" xr6:coauthVersionLast="47" xr6:coauthVersionMax="47" xr10:uidLastSave="{67639F06-A5D1-B84D-8735-22E5F016F4D2}"/>
  <bookViews>
    <workbookView xWindow="-5180" yWindow="-21000" windowWidth="38400" windowHeight="19220" tabRatio="500" xr2:uid="{00000000-000D-0000-FFFF-FFFF00000000}"/>
  </bookViews>
  <sheets>
    <sheet name="Start Here" sheetId="1" r:id="rId1"/>
    <sheet name="Glossary" sheetId="7" r:id="rId2"/>
    <sheet name="Field Resources" sheetId="5" r:id="rId3"/>
    <sheet name="Dashboard" sheetId="2" r:id="rId4"/>
    <sheet name="Degree Planner" sheetId="3" r:id="rId5"/>
    <sheet name="Career Tracks Reference" sheetId="4" r:id="rId6"/>
    <sheet name="Committee &amp; Mentors" sheetId="8" r:id="rId7"/>
    <sheet name="Semester Planner" sheetId="9" r:id="rId8"/>
    <sheet name="Individual Dev Plan" sheetId="10" r:id="rId9"/>
    <sheet name="Identity &amp; Values Check-In" sheetId="11" r:id="rId10"/>
    <sheet name="Job Market Dossier" sheetId="12" r:id="rId11"/>
    <sheet name="Paper Trail &amp; Patterns" sheetId="13" r:id="rId12"/>
    <sheet name="Lists" sheetId="14" state="hidden" r:id="rId13"/>
  </sheets>
  <definedNames>
    <definedName name="SelectedTrack">Dashboard!$B$7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 i="3" l="1"/>
  <c r="A17" i="2"/>
  <c r="B22" i="2"/>
  <c r="M16" i="3"/>
  <c r="M77" i="3"/>
  <c r="M57" i="3"/>
  <c r="M42" i="3"/>
  <c r="M29" i="3"/>
  <c r="M28" i="3"/>
  <c r="M27" i="3"/>
  <c r="M15" i="3"/>
  <c r="M14" i="3"/>
  <c r="M13" i="3"/>
  <c r="M12" i="3"/>
  <c r="M76" i="3"/>
  <c r="M75" i="3"/>
  <c r="M74" i="3"/>
  <c r="M73" i="3"/>
  <c r="M72" i="3"/>
  <c r="M71" i="3"/>
  <c r="M70" i="3"/>
  <c r="M69" i="3"/>
  <c r="M68" i="3"/>
  <c r="M67" i="3"/>
  <c r="M66" i="3"/>
  <c r="M65" i="3"/>
  <c r="M56" i="3"/>
  <c r="M55" i="3"/>
  <c r="M41" i="3"/>
  <c r="M40" i="3"/>
  <c r="M26" i="3"/>
  <c r="M25" i="3"/>
  <c r="M11" i="3"/>
  <c r="M54" i="3"/>
  <c r="M39" i="3"/>
  <c r="M24" i="3"/>
  <c r="M64" i="3"/>
  <c r="M53" i="3"/>
  <c r="M38" i="3"/>
  <c r="M37" i="3"/>
  <c r="M63" i="3"/>
  <c r="M52" i="3"/>
  <c r="M51" i="3"/>
  <c r="M36" i="3"/>
  <c r="M50" i="3"/>
  <c r="M49" i="3"/>
  <c r="M35" i="3"/>
  <c r="M23" i="3"/>
  <c r="M48" i="3"/>
  <c r="M62" i="3"/>
  <c r="M61" i="3"/>
  <c r="M60" i="3"/>
  <c r="M59" i="3"/>
  <c r="M58" i="3"/>
  <c r="M47" i="3"/>
  <c r="M46" i="3"/>
  <c r="M45" i="3"/>
  <c r="M44" i="3"/>
  <c r="M34" i="3"/>
  <c r="M33" i="3"/>
  <c r="M43" i="3"/>
  <c r="M32" i="3"/>
  <c r="M31" i="3"/>
  <c r="M30" i="3"/>
  <c r="M22" i="3"/>
  <c r="M21" i="3"/>
  <c r="M20" i="3"/>
  <c r="M19" i="3"/>
  <c r="M18" i="3"/>
  <c r="M17" i="3"/>
  <c r="M9" i="3"/>
  <c r="M8" i="3"/>
  <c r="M7" i="3"/>
  <c r="M6" i="3"/>
  <c r="M5" i="3"/>
  <c r="C43" i="2"/>
  <c r="B43" i="2"/>
  <c r="C42" i="2"/>
  <c r="B42" i="2"/>
  <c r="C41" i="2"/>
  <c r="B41" i="2"/>
  <c r="C40" i="2"/>
  <c r="D40" i="2" s="1"/>
  <c r="B40" i="2"/>
  <c r="C39" i="2"/>
  <c r="B39" i="2"/>
  <c r="C38" i="2"/>
  <c r="B38" i="2"/>
  <c r="C37" i="2"/>
  <c r="B37" i="2"/>
  <c r="C36" i="2"/>
  <c r="B36" i="2"/>
  <c r="C35" i="2"/>
  <c r="B35" i="2"/>
  <c r="C34" i="2"/>
  <c r="B34" i="2"/>
  <c r="C29" i="2"/>
  <c r="B29" i="2"/>
  <c r="C28" i="2"/>
  <c r="B28" i="2"/>
  <c r="C27" i="2"/>
  <c r="B27" i="2"/>
  <c r="C26" i="2"/>
  <c r="B26" i="2"/>
  <c r="C25" i="2"/>
  <c r="B25" i="2"/>
  <c r="C24" i="2"/>
  <c r="B24" i="2"/>
  <c r="C23" i="2"/>
  <c r="B23" i="2"/>
  <c r="C22" i="2"/>
  <c r="D12" i="2"/>
  <c r="C12" i="2"/>
  <c r="B12" i="2"/>
  <c r="A12" i="2"/>
  <c r="D27" i="2" l="1"/>
  <c r="D39" i="2"/>
  <c r="D43" i="2"/>
  <c r="D23" i="2"/>
  <c r="D28" i="2"/>
  <c r="D36" i="2"/>
  <c r="C17" i="2"/>
  <c r="B17" i="2"/>
  <c r="D25" i="2"/>
  <c r="D29" i="2"/>
  <c r="D37" i="2"/>
  <c r="D41" i="2"/>
  <c r="D34" i="2"/>
  <c r="D38" i="2"/>
  <c r="D42" i="2"/>
  <c r="D26" i="2"/>
  <c r="D22" i="2"/>
  <c r="E12" i="2"/>
  <c r="D24" i="2"/>
  <c r="D35" i="2"/>
  <c r="D17" i="2" l="1"/>
</calcChain>
</file>

<file path=xl/sharedStrings.xml><?xml version="1.0" encoding="utf-8"?>
<sst xmlns="http://schemas.openxmlformats.org/spreadsheetml/2006/main" count="1374" uniqueCount="685">
  <si>
    <t>RCWS Doctoral Degree Planner</t>
  </si>
  <si>
    <t>How to Use This Workbook</t>
  </si>
  <si>
    <t>1. Start on the Dashboard tab: fill in your name and program details, and choose your career track from the dropdown. Your track selection drives the highlighting on the Degree Planner.</t>
  </si>
  <si>
    <t>2. Do your planning on the Degree Planner tab: it lists every requirement and suggested milestone from the guide. Edit "Target Year" for any item to fit your own pace — a traditional 5-year plan or an extended timeline of up to 8 or more years. Update "Status" as you make progress.</t>
  </si>
  <si>
    <t>3. Focus on your track: rows tagged "All Tracks" apply to everyone. Rows tagged with a specific career track are dimmed in the "Relevant to Selected Track?" column when they don't match your Dashboard selection — use the column's filter arrow and choose "Show" to see only what applies to you.</t>
  </si>
  <si>
    <t>4. Watch your progress: the Dashboard updates automatically with totals and percentages overall, by year, by category, and for your selected track, as soon as you change a Status on the Degree Planner.</t>
  </si>
  <si>
    <t>5. Fill-in cells are shaded pale gold throughout the workbook — these are places for you to add your own institution's deadlines, names, and details. Everything else can be edited too; nothing is locked.</t>
  </si>
  <si>
    <t>Status Legend</t>
  </si>
  <si>
    <t>○ Not Started</t>
  </si>
  <si>
    <t>◐ In Progress</t>
  </si>
  <si>
    <t>✓ Complete</t>
  </si>
  <si>
    <t>Fill-in cell (add your own details)</t>
  </si>
  <si>
    <t>Accessibility</t>
  </si>
  <si>
    <t>This workbook is built for screen-reader and keyboard navigation: data lives in structured, named tables with descriptive column headers; status and priority are always labeled in plain text and paired with a symbol, never conveyed by color alone; body text uses Arial at 11pt or larger with high-contrast color combinations; and long-text columns wrap rather than truncate. Gridlines are turned off in favor of visible cell borders, and each sheet opens with frozen headers so column labels stay in view while you scroll.</t>
  </si>
  <si>
    <t>What's in Each Tab</t>
  </si>
  <si>
    <t>Tab</t>
  </si>
  <si>
    <t>What it's for</t>
  </si>
  <si>
    <t>Dashboard</t>
  </si>
  <si>
    <t>Your info, career-track selector, and live progress summary.</t>
  </si>
  <si>
    <t>Degree Planner</t>
  </si>
  <si>
    <t>Career Tracks Reference</t>
  </si>
  <si>
    <t>Full detail behind each of the six career tracks, for comparing paths before you choose.</t>
  </si>
  <si>
    <t>Field Resources</t>
  </si>
  <si>
    <t>Directory of RCWS-field organizations, journals, conferences, publishers/book series, and listservs, with links.</t>
  </si>
  <si>
    <t>Glossary</t>
  </si>
  <si>
    <t>Field-specific acronyms and terms (WPA, WAC, IDP, Prospectus, etc.).</t>
  </si>
  <si>
    <t>Committee &amp; Mentors</t>
  </si>
  <si>
    <t>Guidance for selecting a committee, a fillable list of your mentors by role, and an optional Mentoring Expectations Agreement template.</t>
  </si>
  <si>
    <t>Semester Planner</t>
  </si>
  <si>
    <t>A term-by-term course-planning grid for Years 1-8.</t>
  </si>
  <si>
    <t>Individual Dev Plan</t>
  </si>
  <si>
    <t>A yearly goal-setting template across degree, skills, career, personal, and funding goals.</t>
  </si>
  <si>
    <t>Identity &amp; Values Check-In</t>
  </si>
  <si>
    <t>Optional, once-a-year reflection on disciplinary identity, teaching persona, professional identity, and personal/spiritual growth — separate from tracked progress.</t>
  </si>
  <si>
    <t>Job Market Dossier</t>
  </si>
  <si>
    <t>What goes in an academic job application packet, with length/audience notes.</t>
  </si>
  <si>
    <t>Paper Trail &amp; Patterns</t>
  </si>
  <si>
    <t>Optional logs: a documentation record for accommodation/funding decisions, and a private space to notice recurring patterns.</t>
  </si>
  <si>
    <t>My Degree Planning Dashboard</t>
  </si>
  <si>
    <t>Fill in your details, choose your career track, and watch your progress update automatically as you mark items complete on the Degree Planner tab.</t>
  </si>
  <si>
    <t>Student Name:</t>
  </si>
  <si>
    <t>Program / Institution:</t>
  </si>
  <si>
    <t>Program Start Year:</t>
  </si>
  <si>
    <t>My Career Track:</t>
  </si>
  <si>
    <t>Overall Progress</t>
  </si>
  <si>
    <t>Total Items</t>
  </si>
  <si>
    <t>Not Started</t>
  </si>
  <si>
    <t>In Progress</t>
  </si>
  <si>
    <t>Complete</t>
  </si>
  <si>
    <t>% Complete</t>
  </si>
  <si>
    <t>Progress on My Selected Track</t>
  </si>
  <si>
    <t>Selected Track</t>
  </si>
  <si>
    <t>Total Relevant Items</t>
  </si>
  <si>
    <t>Progress by Year</t>
  </si>
  <si>
    <t>Year</t>
  </si>
  <si>
    <t>Year 1</t>
  </si>
  <si>
    <t>Year 2</t>
  </si>
  <si>
    <t>Year 3</t>
  </si>
  <si>
    <t>Year 4</t>
  </si>
  <si>
    <t>Year 5</t>
  </si>
  <si>
    <t>Year 6</t>
  </si>
  <si>
    <t>Year 7</t>
  </si>
  <si>
    <t>Year 8+</t>
  </si>
  <si>
    <t>Progress by Category</t>
  </si>
  <si>
    <t>Category</t>
  </si>
  <si>
    <t>Coursework</t>
  </si>
  <si>
    <t>Institutional Paperwork</t>
  </si>
  <si>
    <t>Conference &amp; Professional Development</t>
  </si>
  <si>
    <t>Teaching Development</t>
  </si>
  <si>
    <t>Exams &amp; Portfolio</t>
  </si>
  <si>
    <t>Publication &amp; Research</t>
  </si>
  <si>
    <t>Service</t>
  </si>
  <si>
    <t>Prospectus</t>
  </si>
  <si>
    <t>Dissertation</t>
  </si>
  <si>
    <t>Job Market</t>
  </si>
  <si>
    <t>Funding</t>
  </si>
  <si>
    <t>Sustaining Practices &amp; Care</t>
  </si>
  <si>
    <t>Degree Planner — Flexible Year-by-Year Checklist</t>
  </si>
  <si>
    <t>Set your own pace: edit Target Year for any item to build a traditional 5-year plan or an extended timeline of up to 8+ years. Update Status as you go, and log your Actual Completion Date to see your own pace over time — not a normative one. Pale gold cells are for your own details. See the "Relevant to Selected Track" column to focus on your chosen career track (set on the Dashboard).</t>
  </si>
  <si>
    <t>Target
Year</t>
  </si>
  <si>
    <t>Timing / Semester Notes</t>
  </si>
  <si>
    <t>Requirement / Task</t>
  </si>
  <si>
    <t>Priority</t>
  </si>
  <si>
    <t>Career Track</t>
  </si>
  <si>
    <t>Status</t>
  </si>
  <si>
    <t>Evidence / Deliverable &amp; Reviewer</t>
  </si>
  <si>
    <t>Institution-Specific
Deadline (fill in)</t>
  </si>
  <si>
    <t>Access Planning / Notes (fill in)</t>
  </si>
  <si>
    <t>Actual Completion
Date (fill in)</t>
  </si>
  <si>
    <t>Pace / Gap Notes
(fill in)</t>
  </si>
  <si>
    <t>Relevant to
Selected Track?</t>
  </si>
  <si>
    <t>Flexible / Ongoing</t>
  </si>
  <si>
    <t>Complete first-year coursework</t>
  </si>
  <si>
    <t>Required</t>
  </si>
  <si>
    <t>All Tracks</t>
  </si>
  <si>
    <t>Register for required credit load (e.g., 18 credits)</t>
  </si>
  <si>
    <t>Attend a pre-conference workshop</t>
  </si>
  <si>
    <t>Suggested</t>
  </si>
  <si>
    <t>Join a professional society</t>
  </si>
  <si>
    <t>Ongoing, Years 1-5</t>
  </si>
  <si>
    <t>Demonstrate teaching readiness (syllabus, teaching philosophy, observation)</t>
  </si>
  <si>
    <t>Course syllabus; teaching philosophy; observation | Reviewer: Teaching mentor</t>
  </si>
  <si>
    <t>Online contingency accommodation for high pain days</t>
  </si>
  <si>
    <t>Complete coursework requirements</t>
  </si>
  <si>
    <t>Begin preparing for portfolio / comprehensive exams</t>
  </si>
  <si>
    <t>Begin drafting a manuscript for publication</t>
  </si>
  <si>
    <t>Attend a regional conference</t>
  </si>
  <si>
    <t>Take on departmental service</t>
  </si>
  <si>
    <t>End of Year 2 or Year 3</t>
  </si>
  <si>
    <t>Complete portfolio / comprehensive exams</t>
  </si>
  <si>
    <t>Portfolio artifacts; exam results | Reviewer: Committee</t>
  </si>
  <si>
    <t>1.5x extension of comprehensive exams</t>
  </si>
  <si>
    <t>Submit comprehensive exam paperwork</t>
  </si>
  <si>
    <t>6-12 months post-comps</t>
  </si>
  <si>
    <t>Prepare and defend dissertation prospectus</t>
  </si>
  <si>
    <t>Prospectus document; IRB approval if needed | Reviewer: Committee</t>
  </si>
  <si>
    <t>Defense questions provided in advance</t>
  </si>
  <si>
    <t>Submit prospectus paperwork</t>
  </si>
  <si>
    <t>Submit first publication</t>
  </si>
  <si>
    <t>Take on an administrative role (WPA / Writing Center / WAC)</t>
  </si>
  <si>
    <t>Conduct dissertation data collection and writing</t>
  </si>
  <si>
    <t>Attend a job market preparation seminar</t>
  </si>
  <si>
    <t>Attend a national conference</t>
  </si>
  <si>
    <t>Draft or revise a publication</t>
  </si>
  <si>
    <t>Year 4 through final semester</t>
  </si>
  <si>
    <t>Defend the dissertation</t>
  </si>
  <si>
    <t>Dissertation chapters; defense | Reviewer: Committee</t>
  </si>
  <si>
    <t>Writing groups</t>
  </si>
  <si>
    <t>Submit dissertation defense paperwork and intent to graduate</t>
  </si>
  <si>
    <t>Final year</t>
  </si>
  <si>
    <t>Finalize job market dossier</t>
  </si>
  <si>
    <t>CV; letters; statements; sample syllabi | Reviewer: Placement committee</t>
  </si>
  <si>
    <t>Requesting accommodations during campus visits</t>
  </si>
  <si>
    <t>Submit a second publication</t>
  </si>
  <si>
    <t>Take on a national service commitment</t>
  </si>
  <si>
    <t>Teach an upper-level course</t>
  </si>
  <si>
    <t>Tenure Track R&amp;C</t>
  </si>
  <si>
    <t>Take on an administrative / WPA role</t>
  </si>
  <si>
    <t>Teaching Track &amp; WPA</t>
  </si>
  <si>
    <t>Develop an upper-level course</t>
  </si>
  <si>
    <t>Continue in an administrative / WPA role</t>
  </si>
  <si>
    <t>Writing Center Track</t>
  </si>
  <si>
    <t>Take on a writing center administrative role</t>
  </si>
  <si>
    <t>Conduct a writing center assessment project</t>
  </si>
  <si>
    <t>Engage in community partnership work</t>
  </si>
  <si>
    <t>Community-Engaged Public Rhetorics</t>
  </si>
  <si>
    <t>Develop a service-learning course</t>
  </si>
  <si>
    <t>Continue community partnership activities</t>
  </si>
  <si>
    <t>Continue community engagement work</t>
  </si>
  <si>
    <t>Complete an internship</t>
  </si>
  <si>
    <t>Technical &amp; Professional Communication</t>
  </si>
  <si>
    <t>Take on an administrative or research role</t>
  </si>
  <si>
    <t>Teach a technical writing course</t>
  </si>
  <si>
    <t>Attend industry-adjacent workshops (UX writing, content strategy, information design)</t>
  </si>
  <si>
    <t>Industry</t>
  </si>
  <si>
    <t>Join a professional organization outside academia</t>
  </si>
  <si>
    <t>Begin building an industry-facing portfolio</t>
  </si>
  <si>
    <t>Conduct informational interviews with alumni working outside academia</t>
  </si>
  <si>
    <t>Complete an internship or practicum in an industry role</t>
  </si>
  <si>
    <t>Attend an industry (not academic) conference</t>
  </si>
  <si>
    <t>Consider a relevant industry certification (UX research, project management, data analysis)</t>
  </si>
  <si>
    <t>Pursue freelance or consulting projects</t>
  </si>
  <si>
    <t>Prepare cover letter(s)</t>
  </si>
  <si>
    <t>Prepare CV</t>
  </si>
  <si>
    <t>Prepare teaching philosophy statement</t>
  </si>
  <si>
    <t>Target length: 1 page</t>
  </si>
  <si>
    <t>Prepare research statement</t>
  </si>
  <si>
    <t>Target length: 2 pages</t>
  </si>
  <si>
    <t>Prepare diversity statement (if relevant)</t>
  </si>
  <si>
    <t>Prepare administrative statement (if relevant)</t>
  </si>
  <si>
    <t>Prepare dissertation abstract</t>
  </si>
  <si>
    <t>Assemble teaching portfolio</t>
  </si>
  <si>
    <t>Prepare writing sample(s)</t>
  </si>
  <si>
    <t>Request transcripts</t>
  </si>
  <si>
    <t>Request reference letters</t>
  </si>
  <si>
    <t>Ask your advisor or a faculty mentor directly how they manage work/life balance and boundaries</t>
  </si>
  <si>
    <t>Run a one-week time-tracking self-study to see where your hours actually go</t>
  </si>
  <si>
    <t>Identify a sustainable self-care routine and treat it as part of your professional development, not an afterthought</t>
  </si>
  <si>
    <t>Build or join a care collective or mutual-aid network with peers (shared resources, errands, community)</t>
  </si>
  <si>
    <t>Join or start a peer writing group centered on community and support, not just output</t>
  </si>
  <si>
    <t>Find or create a faculty-free space for peer connection</t>
  </si>
  <si>
    <t>Set a recurring check-in (solo or with peers) to name academic guilt, imposter syndrome, or burnout when they show up</t>
  </si>
  <si>
    <t>Revisit your care practices and boundaries; adjust as your capacity changes</t>
  </si>
  <si>
    <t>Career Track Summaries and Yearly Plans</t>
  </si>
  <si>
    <t>Full detail behind each track's suggestions on the Degree Planner. Pick your track on the Dashboard, then use this sheet to see the whole picture for that path.</t>
  </si>
  <si>
    <t>For students aiming for a tenure-track research position; emphasizes publications, conference presence, and an upper-level course.</t>
  </si>
  <si>
    <t>Pre-conference workshop</t>
  </si>
  <si>
    <t>Coursework complete</t>
  </si>
  <si>
    <t>Begin manuscript; Regional conference; Dept service</t>
  </si>
  <si>
    <t>Portfolio/comps</t>
  </si>
  <si>
    <t>Submit publication; Admin role</t>
  </si>
  <si>
    <t>Dissertation writing</t>
  </si>
  <si>
    <t>Draft second publication; Teach upper-level course</t>
  </si>
  <si>
    <t>Defend; Job market dossier</t>
  </si>
  <si>
    <t>Submit revised/second publication; National service</t>
  </si>
  <si>
    <t>For students prioritizing teaching careers or administrative roles (WPA); emphasizes diverse teaching prep and program administration experience.</t>
  </si>
  <si>
    <t>Begin manuscript; Regional conference; Admin role</t>
  </si>
  <si>
    <t>Portfolio/comps; Develop upper-level course</t>
  </si>
  <si>
    <t>Submit publication; Dept service</t>
  </si>
  <si>
    <t>Dissertation work</t>
  </si>
  <si>
    <t>Admin role; Teach upper-level course</t>
  </si>
  <si>
    <t>National service</t>
  </si>
  <si>
    <t>For students focused on writing center research and administration; emphasizes writing center leadership and assessment.</t>
  </si>
  <si>
    <t>Begin manuscript; Regional conference</t>
  </si>
  <si>
    <t>Submit publication; Develop upper-level course</t>
  </si>
  <si>
    <t>Writing center admin role; conduct assessment</t>
  </si>
  <si>
    <t>Defend</t>
  </si>
  <si>
    <t>Teach upper-level course; National service</t>
  </si>
  <si>
    <t>For students working with community partners and service-learning; emphasizes sustained partnerships and community projects.</t>
  </si>
  <si>
    <t>Portfolio/comps; Community engagement</t>
  </si>
  <si>
    <t>Submit publication; Develop service-learning course</t>
  </si>
  <si>
    <t>Community partnership activities</t>
  </si>
  <si>
    <t>National service; Continued engagement</t>
  </si>
  <si>
    <t>For students focused on technical communication in industry or academia; emphasizes technical writing courses and applied projects.</t>
  </si>
  <si>
    <t>Begin manuscript; Internship</t>
  </si>
  <si>
    <t>Submit publication; Admin/research role</t>
  </si>
  <si>
    <t>Draft/revise publication; Teach technical course</t>
  </si>
  <si>
    <t>Submit publication; National service</t>
  </si>
  <si>
    <t>For students focused on professional careers outside academia.</t>
  </si>
  <si>
    <t>Attend industry-adjacent workshops (UX writing, content strategy, information design); Join a professional organization outside academia</t>
  </si>
  <si>
    <t>Begin building an industry-facing portfolio; conduct informational interviews with alumni working outside academia</t>
  </si>
  <si>
    <t>Complete an internship or practicum in an industry role; attend an industry (not academic) conference</t>
  </si>
  <si>
    <t>Consider a relevant certification (UX research, project management, data analysis); Teach technical course</t>
  </si>
  <si>
    <t>Freelance or consulting projects</t>
  </si>
  <si>
    <t>Field Resources: Organizations, Journals, Conferences &amp; Publishers</t>
  </si>
  <si>
    <t>Professional Organizations</t>
  </si>
  <si>
    <t>Name</t>
  </si>
  <si>
    <t>Notes</t>
  </si>
  <si>
    <t>Link</t>
  </si>
  <si>
    <t>Association for Business Communication (ABC)</t>
  </si>
  <si>
    <t>https://www.businesscommunication.org/home</t>
  </si>
  <si>
    <t>Association of Computing Machinery Special Interest Group on Design of Communication (ACM SIGDOC)</t>
  </si>
  <si>
    <t>https://sigdoc.acm.org/</t>
  </si>
  <si>
    <t>Association for Writing Across the Curriculum (AWAC)</t>
  </si>
  <si>
    <t>Affiliated w/ IWAC and WAC Clearinghouse</t>
  </si>
  <si>
    <t>https://wacassociation.org/iwac-conference/</t>
  </si>
  <si>
    <t>Association of Teachers of Technical Writing (ATTW)</t>
  </si>
  <si>
    <t>https://attw.org/</t>
  </si>
  <si>
    <t>Coalition for Community Writing (CCW)</t>
  </si>
  <si>
    <t>Affiliated with Reflections and Community Literacy Journal, and the biennial Conference on Community Writing</t>
  </si>
  <si>
    <t>https://communitywriting.org/</t>
  </si>
  <si>
    <t>Coalition of Feminist Scholars in the History of Rhetoric and Composition (CFSHRC)</t>
  </si>
  <si>
    <t>Affiliated w/ Peitho and the biennial FemRhet Conference</t>
  </si>
  <si>
    <t>https://cfshrc.org/</t>
  </si>
  <si>
    <t>Community Literacies Collaboratory</t>
  </si>
  <si>
    <t>https://communityliteraciescollaboratory.com</t>
  </si>
  <si>
    <t>Consortium on Graduate Communication (CGC)</t>
  </si>
  <si>
    <t>https://gradconsortium.org/</t>
  </si>
  <si>
    <t>Council of Writing Program Administrators (CWPA)</t>
  </si>
  <si>
    <t>https://www.wpacouncil.org/aws/CWPA/pt/sp/home_page</t>
  </si>
  <si>
    <t>Council on Basic Writing (CBW)</t>
  </si>
  <si>
    <t>Affiliated w/ Journal of Basic Writing</t>
  </si>
  <si>
    <t>https://cbwblog.wordpress.com/about/</t>
  </si>
  <si>
    <t>Council on Programs in Technical and Scientific Communication (CPTSC)</t>
  </si>
  <si>
    <t>https://cptsc.org/</t>
  </si>
  <si>
    <t>Critical Language Awareness Collective (CLAC)</t>
  </si>
  <si>
    <t>https://clacollective.org/</t>
  </si>
  <si>
    <t>European Association for Teachers of Academic Writing (EATAW)</t>
  </si>
  <si>
    <t>Affiliated w/ Journal of Academic Writing</t>
  </si>
  <si>
    <t>https://www.eataw.eu/</t>
  </si>
  <si>
    <t>Global Society of Online Literacy Educators (GSOLE)</t>
  </si>
  <si>
    <t>https://gsole.org/</t>
  </si>
  <si>
    <t>International Society for the Advancement of Writing Research (ISAWR)</t>
  </si>
  <si>
    <t>Affiliated w/ WRAB conference</t>
  </si>
  <si>
    <t>https://www.isawr.org/</t>
  </si>
  <si>
    <t>International Writing Centers Association (IWCA)</t>
  </si>
  <si>
    <t>https://writingcenters.org/</t>
  </si>
  <si>
    <t>IEEE ProComm / Professional Communication Society</t>
  </si>
  <si>
    <t>Yearly conference in July; TPC professionals and educators</t>
  </si>
  <si>
    <t>https://procomm.ieee.org/</t>
  </si>
  <si>
    <t>Jesuit Rhetoric and Composition Network (JCRN)</t>
  </si>
  <si>
    <t>Affiliated with the Association of Jesuit Colleges and Universities; meets at RSA</t>
  </si>
  <si>
    <t>https://ajcunet.edu/networks/jesuit-rhetoric-composition-network/</t>
  </si>
  <si>
    <t>Rhetoric Society of America (RSA)</t>
  </si>
  <si>
    <t>https://rhetoricsociety.org/</t>
  </si>
  <si>
    <t>Rhetoricians of Health and Medicine (RHM)</t>
  </si>
  <si>
    <t>Publishes the RHM Journal</t>
  </si>
  <si>
    <t>https://medicalrhetoric.com/</t>
  </si>
  <si>
    <t>Small Liberal Arts Colleges – Writing Program Administrators (SLAC-WPA)</t>
  </si>
  <si>
    <t>https://slacwpa.org/</t>
  </si>
  <si>
    <t>Symposium for Second Language Writing (SSLW)</t>
  </si>
  <si>
    <t>Affiliated w/ Journal of Second Language Writing</t>
  </si>
  <si>
    <t>https://pmatsuda.net/sslw/</t>
  </si>
  <si>
    <t>Two-Year College English Association (TYCA)</t>
  </si>
  <si>
    <t>Affiliated with TETYC and NCTE; regional TYCAs are not</t>
  </si>
  <si>
    <t>https://ncte.org/groups/tyca/tyca-about-us/</t>
  </si>
  <si>
    <t>Writing Analytics (SIG)</t>
  </si>
  <si>
    <t>—</t>
  </si>
  <si>
    <t>Latin American Writing Studies Association</t>
  </si>
  <si>
    <t>https://www.estudiosdelaescritura.org/home-english.html</t>
  </si>
  <si>
    <t>Kenneth Burke Society (KBS)</t>
  </si>
  <si>
    <t>https://kbjournal.org/kbs</t>
  </si>
  <si>
    <t>Writing through the Lifespan Collaboration</t>
  </si>
  <si>
    <t>http://lifespanwriting.org</t>
  </si>
  <si>
    <t>Writing for Research and Academic Practice (WRAP)</t>
  </si>
  <si>
    <t>https://wrapnetwork.org/</t>
  </si>
  <si>
    <t>AAAL — American Association for Applied Linguistics</t>
  </si>
  <si>
    <t>AACU — Association of American Colleges and Universities</t>
  </si>
  <si>
    <t>ARSTM — Association for the Rhetoric of Science, Technology, and Medicine</t>
  </si>
  <si>
    <t>ASHR — American Society for the History of Rhetoric</t>
  </si>
  <si>
    <t>CRRAR — Center for Research on Reasoning, Argumentation, &amp; Rhetoric</t>
  </si>
  <si>
    <t>EARLI (SIG – Writing) — European Association for Research on Learning and Instruction</t>
  </si>
  <si>
    <t>ELATE — English Language Arts Teacher Educators</t>
  </si>
  <si>
    <t>ERIC — Educational Resources Information Center</t>
  </si>
  <si>
    <t>EWCA — European Writing Centers Association</t>
  </si>
  <si>
    <t>GRN — Graduate Research Network</t>
  </si>
  <si>
    <t>ILIAS — International Learned Institute of Argumentation Studies</t>
  </si>
  <si>
    <t>ISHR — International Society for the History of Rhetoric</t>
  </si>
  <si>
    <t>MLA — Modern Language Association of America</t>
  </si>
  <si>
    <t>NCA — National Communication Association</t>
  </si>
  <si>
    <t>National Resource Center for the First-Year Experience and Students in Transition</t>
  </si>
  <si>
    <t>NWP — National Writing Project</t>
  </si>
  <si>
    <t>RSE — Rhetoric Society of Europe</t>
  </si>
  <si>
    <t>SHARP — Society for the History of Authorship, Reading, and Publishing</t>
  </si>
  <si>
    <t>SSCA — Southern States Communication Association</t>
  </si>
  <si>
    <t>TESOL — Teachers of English to Speakers of Other Languages</t>
  </si>
  <si>
    <t>Journals</t>
  </si>
  <si>
    <t>Across the Disciplines</t>
  </si>
  <si>
    <t>https://wacclearinghouse.org/atd/</t>
  </si>
  <si>
    <t>Assessing Writing</t>
  </si>
  <si>
    <t>https://shop.elsevier.com/journals/assessing-writing/1075-2935</t>
  </si>
  <si>
    <t>Computers and Composition</t>
  </si>
  <si>
    <t>http://www.sciencedirect.com/science/journal/87554615</t>
  </si>
  <si>
    <t>Pre/Text</t>
  </si>
  <si>
    <t>College Composition and Communication (CCC)</t>
  </si>
  <si>
    <t>http://www.ncte.org/cccc/ccc/issues</t>
  </si>
  <si>
    <t>College English</t>
  </si>
  <si>
    <t>http://www.ncte.org/journals/ce/issues</t>
  </si>
  <si>
    <t>Communication Design Quarterly</t>
  </si>
  <si>
    <t>https://cdq.sigdoc.org/</t>
  </si>
  <si>
    <t>Community Literacy Journal</t>
  </si>
  <si>
    <t>https://muse.jhu.edu/journal/539</t>
  </si>
  <si>
    <t>Composition Forum</t>
  </si>
  <si>
    <t>https://compositionforum.com/</t>
  </si>
  <si>
    <t>Composition Studies</t>
  </si>
  <si>
    <t>Enculturation</t>
  </si>
  <si>
    <t>https://enculturation.net/</t>
  </si>
  <si>
    <t>IEEE Transactions on Professional Communication</t>
  </si>
  <si>
    <t>https://procomm.ieee.org/transactions-of-professional-communication/</t>
  </si>
  <si>
    <t>JAC: A Journal of Composition Theory</t>
  </si>
  <si>
    <t>https://www.jstor.org/journal/jac</t>
  </si>
  <si>
    <t>JAEPL</t>
  </si>
  <si>
    <t>Journal of Basic Writing</t>
  </si>
  <si>
    <t>Journal of Business and Technical Communication</t>
  </si>
  <si>
    <t>http://journals.sagepub.com/loi/jbt</t>
  </si>
  <si>
    <t>Journal of Literacy and Technology</t>
  </si>
  <si>
    <t>Journal of Second Language Writing</t>
  </si>
  <si>
    <t>https://www.sciencedirect.com/journal/journal-of-second-language-writing</t>
  </si>
  <si>
    <t>Journal of Writing Analytics</t>
  </si>
  <si>
    <t>https://wacclearinghouse.org/jwa/</t>
  </si>
  <si>
    <t>Journal of Writing Assessment</t>
  </si>
  <si>
    <t>https://escholarship.org/uc/jwa</t>
  </si>
  <si>
    <t>Kairos</t>
  </si>
  <si>
    <t>http://kairos.technorhetoric.net/</t>
  </si>
  <si>
    <t>KB Journal: The Journal of the Kenneth Burke Society</t>
  </si>
  <si>
    <t>https://kbjournal.org</t>
  </si>
  <si>
    <t>Literacy in Composition Studies</t>
  </si>
  <si>
    <t>https://licsjournal.org/index.php/LiCS</t>
  </si>
  <si>
    <t>Pedagogy: Critical Approaches to Teaching Literature, Language, Composition, and Culture</t>
  </si>
  <si>
    <t>https://read.dukeupress.edu/pedagogy</t>
  </si>
  <si>
    <t>Philosophy and Rhetoric</t>
  </si>
  <si>
    <t>https://muse.jhu.edu/journal/151</t>
  </si>
  <si>
    <t>Present Tense: A Journal of Rhetoric in Society</t>
  </si>
  <si>
    <t>https://www.presenttensejournal.org/</t>
  </si>
  <si>
    <t>Quarterly Journal of Speech</t>
  </si>
  <si>
    <t>http://www.tandfonline.com/loi/rqjs20</t>
  </si>
  <si>
    <t>Reflections: A Journal of Community-Engaged Writing and Rhetoric</t>
  </si>
  <si>
    <t>https://journals.psu.edu/reflections/index</t>
  </si>
  <si>
    <t>Research in the Teaching of English</t>
  </si>
  <si>
    <t>http://www.ncte.org/journals/rte/issues</t>
  </si>
  <si>
    <t>Rhetorica</t>
  </si>
  <si>
    <t>http://www.jstor.org/journal/rhetorica</t>
  </si>
  <si>
    <t>Rhetoric Review</t>
  </si>
  <si>
    <t>http://www.tandfonline.com/loi/hrhr20</t>
  </si>
  <si>
    <t>Rhetoric Society Quarterly</t>
  </si>
  <si>
    <t>http://www.tandfonline.com/loi/rrsq20</t>
  </si>
  <si>
    <t>Rhetoric of Health and Medicine Journal</t>
  </si>
  <si>
    <t>https://journals.upress.ufl.edu/rhm</t>
  </si>
  <si>
    <t>Teaching English in the Two-Year College (TETYC)</t>
  </si>
  <si>
    <t>Technical Communication</t>
  </si>
  <si>
    <t>http://www.ingentaconnect.com/content//stc/tc</t>
  </si>
  <si>
    <t>Technical Communication Quarterly</t>
  </si>
  <si>
    <t>http://www.tandfonline.com/loi/htcq20</t>
  </si>
  <si>
    <t>WAC Journal</t>
  </si>
  <si>
    <t>https://wacclearinghouse.org/journal/</t>
  </si>
  <si>
    <t>Writing Center Journal</t>
  </si>
  <si>
    <t>Written Communication</t>
  </si>
  <si>
    <t>http://journals.sagepub.com/loi/wcx</t>
  </si>
  <si>
    <t>Writing Program Administration (WPA Journal)</t>
  </si>
  <si>
    <t>https://wpacouncil.org/aws/CWPA/pt/sp/journal</t>
  </si>
  <si>
    <t>Women's Studies Quarterly (WSQ)</t>
  </si>
  <si>
    <t>https://feministpress.org/pages/about-wsq</t>
  </si>
  <si>
    <t>Conferences</t>
  </si>
  <si>
    <t>Timing and venue shift year to year — check each conference's site for the current call for proposals and dates.</t>
  </si>
  <si>
    <t>CWPA Conference</t>
  </si>
  <si>
    <t>In-person biannually (last 2026), online biannually (last 2025). Contact: CWPA president, currently David Green (david.f.green@howard.edu)</t>
  </si>
  <si>
    <t>https://www.wpacouncil.org/aws/CWPA/pt/sp/conference_home_page</t>
  </si>
  <si>
    <t>RSA Biennial Conference</t>
  </si>
  <si>
    <t>Held in even-numbered years; public and theoretical rhetoric scholars</t>
  </si>
  <si>
    <t>Computers and Writing (C&amp;W)</t>
  </si>
  <si>
    <t>Hybrid annual event on technology, multimodal composition, and digital pedagogy</t>
  </si>
  <si>
    <t>Conference on Community Writing</t>
  </si>
  <si>
    <t>Biennial, sponsored by CCW; held in fall during odd-numbered years</t>
  </si>
  <si>
    <t>https://communitywriting.org/conference-on-community-writing/</t>
  </si>
  <si>
    <t>Feminisms and Rhetorics</t>
  </si>
  <si>
    <t>Biennial, hosted in odd-numbered years by CFSHRC</t>
  </si>
  <si>
    <t>ATTW Conference</t>
  </si>
  <si>
    <t>Typically held in conjunction with CCCC</t>
  </si>
  <si>
    <t>CPTSC Conference</t>
  </si>
  <si>
    <t>Focus: program administration and curriculum design</t>
  </si>
  <si>
    <t>Corridors Conference</t>
  </si>
  <si>
    <t>Regional Blue Ridge writing and rhetoric conference, held annually in the fall</t>
  </si>
  <si>
    <t>Conference on the First Year Experience</t>
  </si>
  <si>
    <t>National Resource Center for the First Year Experience and Students in Transition</t>
  </si>
  <si>
    <t>https://sc.edu/about/offices_and_divisions/national_resource_center/events/conferences/first-year_experience/index.php</t>
  </si>
  <si>
    <t>ISAWR – Writing Research Across Borders (WRAB)</t>
  </si>
  <si>
    <t>"Writing in Motion," 30 Nov-3 Dec 2026, University of Sydney, Australia</t>
  </si>
  <si>
    <t>https://wrab2026.com/</t>
  </si>
  <si>
    <t>IWAC Conference</t>
  </si>
  <si>
    <t>Held every other year</t>
  </si>
  <si>
    <t>International Writing Analytics Conference</t>
  </si>
  <si>
    <t>Annual; 2027 CFP releases fall 2026</t>
  </si>
  <si>
    <t>https://writinganalytics.wacclearinghouse.org/</t>
  </si>
  <si>
    <t>International Writing Center Association Conference</t>
  </si>
  <si>
    <t>https://iwca.wildapricot.org/AnnualConference</t>
  </si>
  <si>
    <t>IEEE ProComm</t>
  </si>
  <si>
    <t>Professional Communication Society Conference</t>
  </si>
  <si>
    <t>https://procomm.ieee.org/conference/</t>
  </si>
  <si>
    <t>Small Liberal Arts Colleges – WPA Conference</t>
  </si>
  <si>
    <t>Check site for current-year venue and dates</t>
  </si>
  <si>
    <t>https://slacwpa.org/index.php/slac-wpa-conference/2026-slac-wpa-conference-at-amherst-college/</t>
  </si>
  <si>
    <t>Watson Conference on Rhetoric and Composition</t>
  </si>
  <si>
    <t>https://events.louisville.edu/conferences/watson-conference-rhetoric-and-composition</t>
  </si>
  <si>
    <t>SIGDOC</t>
  </si>
  <si>
    <t>October 2026</t>
  </si>
  <si>
    <t>https://sigdoc.acm.org/conference/2026/</t>
  </si>
  <si>
    <t>National Advanced Writing Association Symposium</t>
  </si>
  <si>
    <t>https://dornsife.usc.edu/the-writing-program/2027-national-advanced-writing-symposium/</t>
  </si>
  <si>
    <t>Conference on Students in Transition</t>
  </si>
  <si>
    <t>https://sc.edu/about/offices_and_divisions/national_resource_center/events/conferences/students_in_transition/proposals/index.php</t>
  </si>
  <si>
    <t>TYCA Regional Conferences</t>
  </si>
  <si>
    <t>No NCTE membership required. Held annually, most in October (Southeast in February). Regions: Midwest, Northeast, Pacific Northwest, Southeast, Southwest, West</t>
  </si>
  <si>
    <t>https://ncte.org/groups/tyca/tyca-regions-conferences/</t>
  </si>
  <si>
    <t>Writing Innovation Symposium (WIS)</t>
  </si>
  <si>
    <t>Regional conference with national reach, Milwaukee WI, 2 days (Thu/Fri) late Jan/early Feb, incl. free pre-symposium day</t>
  </si>
  <si>
    <t>https://wisymposium.com/</t>
  </si>
  <si>
    <t>Publishers &amp; Book Series</t>
  </si>
  <si>
    <t>Presses and series that regularly publish RCWS scholarship, including several field-specific book series.</t>
  </si>
  <si>
    <t>Utah State University Press / University Press of Colorado</t>
  </si>
  <si>
    <t>https://www.upcolorado.com/utah-state-university-press</t>
  </si>
  <si>
    <t>— Computers and Composition Digital Press</t>
  </si>
  <si>
    <t>Series (USUP/UPC)</t>
  </si>
  <si>
    <t>https://ccdigitalpress.org/</t>
  </si>
  <si>
    <t>— Current Arguments in Composition</t>
  </si>
  <si>
    <t>https://www.upcolorado.com/current-arguments-in-composition</t>
  </si>
  <si>
    <t>— Writing Research, Pedagogy, and Policy</t>
  </si>
  <si>
    <t>Series (USUP/UPC); series editor: Elizabeth Wardle</t>
  </si>
  <si>
    <t>https://www.upcolorado.com/writing-research-pedagogy-and-policy-series</t>
  </si>
  <si>
    <t>Sweetland Digital Rhetoric Collaborative</t>
  </si>
  <si>
    <t>WAC Clearinghouse</t>
  </si>
  <si>
    <t>Multiple series: Perspectives on Writing; Practices and Possibilities; Precarity and Contingency; International Exchanges on the Study of Writing; Across the Disciplines; Foundations and Innovations in TPC; Studies in Writing and Rhetoric (formerly NCTE); Lifespan Writing Research; #writing; Writing Spaces</t>
  </si>
  <si>
    <t>https://wacclearinghouse.org/</t>
  </si>
  <si>
    <t>Parlor Press</t>
  </si>
  <si>
    <t>https://parlorpress.com/</t>
  </si>
  <si>
    <t>Penn State University Press</t>
  </si>
  <si>
    <t>RSA Series in Transdisciplinary Rhetoric</t>
  </si>
  <si>
    <t>https://rhetoricsociety.org/psup-books/</t>
  </si>
  <si>
    <t>Ohio State University Press</t>
  </si>
  <si>
    <t>Intersectional Rhetorics Series</t>
  </si>
  <si>
    <t>https://ohiostatepress.org/books/series/IntersectionalRhetorics.html</t>
  </si>
  <si>
    <t>University of Pittsburgh Press</t>
  </si>
  <si>
    <t>Composition, Literacy, and Culture series</t>
  </si>
  <si>
    <t>University of Alabama Press</t>
  </si>
  <si>
    <t>University of California Press</t>
  </si>
  <si>
    <t>University of Michigan Press</t>
  </si>
  <si>
    <t>University of Minnesota Press</t>
  </si>
  <si>
    <t>University of Chicago Press</t>
  </si>
  <si>
    <t>Syracuse University Press</t>
  </si>
  <si>
    <t>Baywood Publishing Company</t>
  </si>
  <si>
    <t>Listservs &amp; Other Resources</t>
  </si>
  <si>
    <t>Mailing lists and reference resources for staying current in the field.</t>
  </si>
  <si>
    <t>WPA-Announcements</t>
  </si>
  <si>
    <t>Listserv</t>
  </si>
  <si>
    <t>https://groups.google.com/g/wpa-announcements</t>
  </si>
  <si>
    <t>Writing Studies-L</t>
  </si>
  <si>
    <t>Information only, not discussion</t>
  </si>
  <si>
    <t>https://sites.google.com/view/ws-linfo/hashtags-list?authuser=0</t>
  </si>
  <si>
    <t>WAC-L Listserv</t>
  </si>
  <si>
    <t>"For all who are interested in WAC" — program development, research, and pedagogy</t>
  </si>
  <si>
    <t>https://wacassociation.org/resource/wac-listserv/</t>
  </si>
  <si>
    <t>List of All Lists (The WAC Clearinghouse)</t>
  </si>
  <si>
    <t>https://wacclearinghouse.org/repository/professional/lists/</t>
  </si>
  <si>
    <t>Rhetmap</t>
  </si>
  <si>
    <t>Field map/directory, incl. a monograph-publisher list</t>
  </si>
  <si>
    <t>http://rhetmap.org</t>
  </si>
  <si>
    <t>CCCC and NCTE Org Charts</t>
  </si>
  <si>
    <t>Overview of CCCC/NCTE organizational structure (made for the Mid-Atlantic Ideation session)</t>
  </si>
  <si>
    <t>https://drive.google.com/file/d/17uhSVdN_P-kYRUw62jffWad0ZG_67lld/view?usp=sharing</t>
  </si>
  <si>
    <t>Glossary and Key Terms</t>
  </si>
  <si>
    <t>Acronym / Term</t>
  </si>
  <si>
    <t>Definition</t>
  </si>
  <si>
    <t>RCWS</t>
  </si>
  <si>
    <t>Rhetoric, Composition, and Writing Studies</t>
  </si>
  <si>
    <t>WPA</t>
  </si>
  <si>
    <t>Writing Program Administrator</t>
  </si>
  <si>
    <t>WC</t>
  </si>
  <si>
    <t>Writing Center</t>
  </si>
  <si>
    <t>WAC</t>
  </si>
  <si>
    <t>Writing Across the Curriculum</t>
  </si>
  <si>
    <t>CCCC</t>
  </si>
  <si>
    <t>RSA</t>
  </si>
  <si>
    <t>Rhetoric Society of America (major national conference in the field)</t>
  </si>
  <si>
    <t>RA</t>
  </si>
  <si>
    <t>Research Assistant</t>
  </si>
  <si>
    <t>TA</t>
  </si>
  <si>
    <t>Teaching Assistant</t>
  </si>
  <si>
    <t>IDP</t>
  </si>
  <si>
    <t>Individual Development Plan</t>
  </si>
  <si>
    <t>Portfolio</t>
  </si>
  <si>
    <t>A curated set of teaching artifacts and reflective statements used for assessment or exams</t>
  </si>
  <si>
    <t>A 3–10+ page document describing dissertation questions, methods, and significance; read by your committee</t>
  </si>
  <si>
    <t>A short, focused session held before a conference; often requires separate registration</t>
  </si>
  <si>
    <t>Departmental or professional contributions such as committee work, event organization, or peer review</t>
  </si>
  <si>
    <t>Job market dossier</t>
  </si>
  <si>
    <t>A packet of materials (CV, letters, statements, samples) used when applying for academic jobs</t>
  </si>
  <si>
    <t>Academic Guilt</t>
  </si>
  <si>
    <t>The felt sense that you should always be doing something academic — resting, socializing, or stepping away from work triggers discomfort even when it's warranted. Common and widely reported among doctoral students and faculty alike; not a personal failing.</t>
  </si>
  <si>
    <t>Imposter Syndrome</t>
  </si>
  <si>
    <t>The inner feeling or belief that you don't belong in your program or profession and are "faking it," regardless of your actual record or ability. Widely reported across doctoral education, especially among students from underrepresented backgrounds.</t>
  </si>
  <si>
    <t>Burnout</t>
  </si>
  <si>
    <t>Exhaustion — physical, emotional, or both — that builds from sustained overwork without adequate recovery. Frequently normalized in academic culture as just part of the job; it isn't, and the conditions that produce it are structural (workload, funding, job-market pressure), not a matter of individual discipline.</t>
  </si>
  <si>
    <t>Committee Guidance and Mentors</t>
  </si>
  <si>
    <t>Guidance for choosing a committee, plus tools for making mentoring relationships explicit — vague mentoring is one of the most commonly named failure points for disabled graduate students.</t>
  </si>
  <si>
    <t>Committee selection summary: Aim for a committee with (1) subject expertise, (2) methodological expertise, (3) intellectual alignment, and (4) an external reader when appropriate.</t>
  </si>
  <si>
    <t>Important note: If you don't mesh with the faculty member at your university who is supposed to be an expert in your subject matter, don't work with them. Identify another faculty member willing to support your research and find other ways to develop your knowledge of the research subject through other mentoring relationships.</t>
  </si>
  <si>
    <t>Before you commit: mentoring styles vary a lot, and mismatches are far easier to navigate in year one than in year three. Where you can, ask a prospective advisor or committee member directly about their mentoring style and how they handle their own work/life balance and boundaries — their answer (or reluctance to answer) tells you a lot before you're committed to working with them.</t>
  </si>
  <si>
    <t>Mentor Role</t>
  </si>
  <si>
    <t>Who fills this role for you (fill in)</t>
  </si>
  <si>
    <t>General mentor</t>
  </si>
  <si>
    <t>Teaching mentor</t>
  </si>
  <si>
    <t>Expert-specific mentor</t>
  </si>
  <si>
    <t>Peer mentor</t>
  </si>
  <si>
    <t>Mentoring Expectations Agreement (optional template)</t>
  </si>
  <si>
    <t>A short, low-stakes way to make an unspoken mentoring relationship explicit — for your own clarity, or as an actual conversation with a mentor. Fill in one row per mentoring relationship you want to formalize.</t>
  </si>
  <si>
    <t>Mentor Name</t>
  </si>
  <si>
    <t>Role</t>
  </si>
  <si>
    <t>Meeting Frequency</t>
  </si>
  <si>
    <t>What my mentor commits to</t>
  </si>
  <si>
    <t>What I commit to</t>
  </si>
  <si>
    <t>If either of us needs to step back / renegotiate</t>
  </si>
  <si>
    <t>Semester by Semester Planner</t>
  </si>
  <si>
    <t>Years 1-5. Add rows for Years 6-8 if you are on an extended timeline.</t>
  </si>
  <si>
    <t>Term</t>
  </si>
  <si>
    <t>Course 1</t>
  </si>
  <si>
    <t>Course 2</t>
  </si>
  <si>
    <t>Course 3</t>
  </si>
  <si>
    <t>Other responsibilities</t>
  </si>
  <si>
    <t>Fall Y1</t>
  </si>
  <si>
    <t>[Type here]</t>
  </si>
  <si>
    <t>Spring Y1</t>
  </si>
  <si>
    <t>Fall Y2</t>
  </si>
  <si>
    <t>Spring Y2</t>
  </si>
  <si>
    <t>Fall Y3</t>
  </si>
  <si>
    <t>[Students in their 3rd year and beyond typically need to register for very specific courses and credits-please determine your institutional context]</t>
  </si>
  <si>
    <t>n/a</t>
  </si>
  <si>
    <t>Exams; Prospectus prep</t>
  </si>
  <si>
    <t>Spring Y3</t>
  </si>
  <si>
    <t>Prospectus defense; Begin dissertation</t>
  </si>
  <si>
    <t>Fall Y4</t>
  </si>
  <si>
    <t>Dissertation writing; Conferences</t>
  </si>
  <si>
    <t>Spring Y4</t>
  </si>
  <si>
    <t>Fall Y5</t>
  </si>
  <si>
    <t>Job market prep; Dossier finalization</t>
  </si>
  <si>
    <t>Spring Y5</t>
  </si>
  <si>
    <t>Dissertation defense; Graduation steps</t>
  </si>
  <si>
    <t>Fall Y6</t>
  </si>
  <si>
    <t>Spring Y6</t>
  </si>
  <si>
    <t>Fall Y7</t>
  </si>
  <si>
    <t>Spring Y7</t>
  </si>
  <si>
    <t>Fall Y8</t>
  </si>
  <si>
    <t>Spring Y8</t>
  </si>
  <si>
    <t>Individual Development Plan Template</t>
  </si>
  <si>
    <t>Degree goals</t>
  </si>
  <si>
    <t>Skills goals</t>
  </si>
  <si>
    <t>Career goals</t>
  </si>
  <si>
    <t>Personal goals</t>
  </si>
  <si>
    <t>Funding goals</t>
  </si>
  <si>
    <t>Access Planning</t>
  </si>
  <si>
    <t>Coursework progress</t>
  </si>
  <si>
    <t>Design syllabus</t>
  </si>
  <si>
    <t>Join professional society</t>
  </si>
  <si>
    <t>Wellness habit</t>
  </si>
  <si>
    <t>TA/RA funding</t>
  </si>
  <si>
    <t>Assessment design</t>
  </si>
  <si>
    <t>Present at conference</t>
  </si>
  <si>
    <t>Build social network</t>
  </si>
  <si>
    <t>Conference funding</t>
  </si>
  <si>
    <t>Comps passed</t>
  </si>
  <si>
    <t>Grant writing</t>
  </si>
  <si>
    <t>Publish first article</t>
  </si>
  <si>
    <t>Sleep routine</t>
  </si>
  <si>
    <t>Fellowship applications</t>
  </si>
  <si>
    <t>1.5x extension on comprehensive exams. Defense questions in advance</t>
  </si>
  <si>
    <t>Prospectus approved</t>
  </si>
  <si>
    <t>Prepare job materials</t>
  </si>
  <si>
    <t>Daily walk</t>
  </si>
  <si>
    <t>Dissertation fellowship</t>
  </si>
  <si>
    <t>Dissertation defense</t>
  </si>
  <si>
    <t>Job talk practice</t>
  </si>
  <si>
    <t>Apply for positions</t>
  </si>
  <si>
    <t>Reflect on career</t>
  </si>
  <si>
    <t>Finalize funding</t>
  </si>
  <si>
    <t>Disciplinary Identity</t>
  </si>
  <si>
    <t>Teaching Persona</t>
  </si>
  <si>
    <t>Professional Identity</t>
  </si>
  <si>
    <t>Personal &amp; Spiritual Growth</t>
  </si>
  <si>
    <t>What does it mean to think, write, and argue like a scholar in your field this year? What ideas, methods, or conversations are you starting to claim as your own?</t>
  </si>
  <si>
    <t>Who are you becoming as a teacher this year? What kind of classroom are you building, and what from your own experience as a student are you carrying into it — or deliberately leaving behind?</t>
  </si>
  <si>
    <t>How do you want to be known in your field? What are you building toward, and what are you not willing to compromise to get there?</t>
  </si>
  <si>
    <t>What's sustaining you outside of your scholarly work this year? What does growth, rest, or groundedness look like for you right now?</t>
  </si>
  <si>
    <t>Job Market Dossier Guide</t>
  </si>
  <si>
    <t>A curated packet of materials used when applying for academic jobs. Track completion of each item on the Degree Planner (Category = Job Market); use this sheet for length/audience detail.</t>
  </si>
  <si>
    <t>Dossier Item</t>
  </si>
  <si>
    <t>Audience / Length Notes</t>
  </si>
  <si>
    <t>Cover letter(s)</t>
  </si>
  <si>
    <t>CV</t>
  </si>
  <si>
    <t>Teaching philosophy</t>
  </si>
  <si>
    <t>1 page</t>
  </si>
  <si>
    <t>Research statement</t>
  </si>
  <si>
    <t>2 pages</t>
  </si>
  <si>
    <t>Diversity statement</t>
  </si>
  <si>
    <t>(if relevant)</t>
  </si>
  <si>
    <t>Administrative statement</t>
  </si>
  <si>
    <t>Dissertation abstract</t>
  </si>
  <si>
    <t>Teaching portfolio</t>
  </si>
  <si>
    <t>Writing sample(s)</t>
  </si>
  <si>
    <t>Transcripts</t>
  </si>
  <si>
    <t>Reference letters</t>
  </si>
  <si>
    <t>Documentation Log</t>
  </si>
  <si>
    <t>Date</t>
  </si>
  <si>
    <t>Who (person / office)</t>
  </si>
  <si>
    <t>What was said or approved</t>
  </si>
  <si>
    <t>Where it's documented</t>
  </si>
  <si>
    <t>Follow-up needed?</t>
  </si>
  <si>
    <t>A place to notice recurring friction points over time — not a formal complaint, just a record for yourself. Naming a pattern is often the first step toward addressing it, whether that stays private or becomes something you choose to raise with your program later.</t>
  </si>
  <si>
    <t>What happened</t>
  </si>
  <si>
    <t>Pattern you're noticing</t>
  </si>
  <si>
    <t>CareerTrackChoices</t>
  </si>
  <si>
    <t>CareerTrackAll</t>
  </si>
  <si>
    <t>YearChoices</t>
  </si>
  <si>
    <t>CategoryChoices</t>
  </si>
  <si>
    <t>PriorityChoices</t>
  </si>
  <si>
    <t>StatusChoices</t>
  </si>
  <si>
    <t>RelationshipChoices</t>
  </si>
  <si>
    <t>DisclosedChoices</t>
  </si>
  <si>
    <t>PaperTrailCatChoices</t>
  </si>
  <si>
    <t>YesNoChoices</t>
  </si>
  <si>
    <t>Advisor</t>
  </si>
  <si>
    <t>Yes - Formal accommodation</t>
  </si>
  <si>
    <t>Accommodation</t>
  </si>
  <si>
    <t>Yes</t>
  </si>
  <si>
    <t>Committee Member</t>
  </si>
  <si>
    <t>Yes - Informal only</t>
  </si>
  <si>
    <t>No</t>
  </si>
  <si>
    <t>Cohort Peer</t>
  </si>
  <si>
    <t>Partial</t>
  </si>
  <si>
    <t>Academic / Program</t>
  </si>
  <si>
    <t>Department Admin/Staff</t>
  </si>
  <si>
    <t>Other</t>
  </si>
  <si>
    <t>Mentor</t>
  </si>
  <si>
    <t>Prefer not to say</t>
  </si>
  <si>
    <t>An adaptable, accessible planning and progress-tracking workbook for rhetoric and composition doctoral students, based on the appendix to "Navigating Uncertain Terrain."</t>
  </si>
  <si>
    <t>The master flexible checklist — requirements and suggestions, with editable Target Year, Status, and Actual Completion Date so you can see your pace over time.</t>
  </si>
  <si>
    <t>Actual</t>
  </si>
  <si>
    <t>Goal</t>
  </si>
  <si>
    <t>Conference on College Composition and Communication (major national conference in the field) (now de-charted 2026)</t>
  </si>
  <si>
    <t xml:space="preserve">Field and field-adjacent organizations; many run their own conferences and journals noted below. </t>
  </si>
  <si>
    <t>Many require institutional/library access to read.</t>
  </si>
  <si>
    <t>A directory of RCWS-field organizations, journals, conferences, publishers/book series, and listservs, compiled from sense-making resource-sharing documents created after the de-chartering of CCCC. Links were current as of compilation — fields and web addresses change, so verify before relying on one. A blank Link cell means no reliable public link was available; search the name directly instead.</t>
  </si>
  <si>
    <t>6. Three tabs are just for you:  Paper Trail &amp; Patterns, the Identity &amp; Values Check-In, and the Mentoring Expectations Agreement on Committee &amp; Mentors. None of them are counted toward degree progress.</t>
  </si>
  <si>
    <t>Rows are filled in with examples of possible goals; replace with your specifics.</t>
  </si>
  <si>
    <t xml:space="preserve">The Degree Planner tracks what you complete. This tab is for who you're becoming while you do it. Reflect once-a-year across four areas of development. </t>
  </si>
  <si>
    <t xml:space="preserve">Patterns &amp; Notes </t>
  </si>
  <si>
    <t xml:space="preserve">Keep a short record of anything related to accommodations, funding, or institutional decisions. </t>
  </si>
  <si>
    <t>Record any documentation filed or points of friction noted as you navigate your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</si>
</sst>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charset val="1"/>
    </font>
    <font>
      <b/>
      <sz val="18"/>
      <color rgb="FFFFFFFF"/>
      <name val="Arial"/>
      <family val="2"/>
    </font>
    <font>
      <sz val="11"/>
      <color rgb="FF1A1A1A"/>
      <name val="Arial"/>
      <family val="2"/>
    </font>
    <font>
      <b/>
      <sz val="11"/>
      <color rgb="FF1A1A1A"/>
      <name val="Arial"/>
      <family val="2"/>
    </font>
    <font>
      <b/>
      <sz val="16"/>
      <color rgb="FF1F3864"/>
      <name val="Arial"/>
      <family val="2"/>
    </font>
    <font>
      <b/>
      <sz val="14"/>
      <color rgb="FF1F3864"/>
      <name val="Arial"/>
      <family val="2"/>
    </font>
    <font>
      <sz val="14"/>
      <color theme="1"/>
      <name val="Calibri"/>
      <family val="2"/>
      <charset val="1"/>
    </font>
    <font>
      <sz val="14"/>
      <color rgb="FF1A1A1A"/>
      <name val="Arial"/>
      <family val="2"/>
    </font>
    <font>
      <b/>
      <sz val="18"/>
      <color rgb="FF1F3864"/>
      <name val="Arial"/>
      <family val="2"/>
    </font>
    <font>
      <b/>
      <sz val="14"/>
      <color rgb="FFFFFFFF"/>
      <name val="Arial"/>
      <family val="2"/>
    </font>
    <font>
      <b/>
      <sz val="14"/>
      <color rgb="FF1A1A1A"/>
      <name val="Arial"/>
      <family val="2"/>
    </font>
    <font>
      <sz val="16"/>
      <color theme="1"/>
      <name val="Calibri"/>
      <family val="2"/>
      <charset val="1"/>
    </font>
    <font>
      <b/>
      <sz val="16"/>
      <color rgb="FF1A1A1A"/>
      <name val="Arial"/>
      <family val="2"/>
    </font>
    <font>
      <sz val="16"/>
      <color rgb="FF1A1A1A"/>
      <name val="Arial"/>
      <family val="2"/>
    </font>
    <font>
      <sz val="18"/>
      <color theme="1"/>
      <name val="Calibri"/>
      <family val="2"/>
      <charset val="1"/>
    </font>
    <font>
      <b/>
      <sz val="18"/>
      <color rgb="FF1A1A1A"/>
      <name val="Arial"/>
      <family val="2"/>
    </font>
    <font>
      <sz val="18"/>
      <color rgb="FF1A1A1A"/>
      <name val="Arial"/>
      <family val="2"/>
    </font>
    <font>
      <b/>
      <sz val="16"/>
      <color rgb="FFFFFFFF"/>
      <name val="Arial"/>
      <family val="2"/>
    </font>
    <font>
      <b/>
      <sz val="16"/>
      <color theme="1"/>
      <name val="Arial"/>
      <family val="2"/>
    </font>
    <font>
      <sz val="16"/>
      <color theme="1"/>
      <name val="Arial"/>
      <family val="2"/>
    </font>
    <font>
      <b/>
      <sz val="16"/>
      <color theme="0"/>
      <name val="Arial"/>
      <family val="2"/>
    </font>
    <font>
      <b/>
      <sz val="18"/>
      <color theme="1"/>
      <name val="Arial"/>
      <family val="2"/>
    </font>
    <font>
      <i/>
      <sz val="10.5"/>
      <color theme="0"/>
      <name val="Arial"/>
      <family val="2"/>
    </font>
    <font>
      <b/>
      <i/>
      <sz val="18"/>
      <color theme="1"/>
      <name val="Arial"/>
      <family val="2"/>
    </font>
    <font>
      <i/>
      <sz val="16"/>
      <color rgb="FFE4E9F2"/>
      <name val="Arial"/>
      <family val="2"/>
    </font>
    <font>
      <i/>
      <sz val="14"/>
      <color rgb="FFE4E9F2"/>
      <name val="Arial"/>
      <family val="2"/>
    </font>
    <font>
      <b/>
      <sz val="16"/>
      <color theme="1"/>
      <name val="Calibri"/>
      <family val="2"/>
      <charset val="1"/>
    </font>
    <font>
      <i/>
      <sz val="16"/>
      <color rgb="FF44546A"/>
      <name val="Arial"/>
      <family val="2"/>
    </font>
    <font>
      <i/>
      <sz val="14"/>
      <color rgb="FF44546A"/>
      <name val="Arial"/>
      <family val="2"/>
    </font>
    <font>
      <u/>
      <sz val="14"/>
      <color rgb="FF1155CC"/>
      <name val="Arial"/>
      <family val="2"/>
    </font>
    <font>
      <b/>
      <sz val="14"/>
      <color theme="1"/>
      <name val="Calibri"/>
      <family val="2"/>
      <charset val="1"/>
    </font>
    <font>
      <b/>
      <sz val="13"/>
      <color rgb="FFFFFFFF"/>
      <name val="Arial"/>
      <family val="2"/>
    </font>
    <font>
      <b/>
      <i/>
      <sz val="16"/>
      <color rgb="FFFFFFFF"/>
      <name val="Arial"/>
      <family val="2"/>
    </font>
    <font>
      <b/>
      <i/>
      <sz val="16"/>
      <color rgb="FF1A1A1A"/>
      <name val="Arial"/>
      <family val="2"/>
    </font>
    <font>
      <b/>
      <i/>
      <sz val="16"/>
      <color theme="1"/>
      <name val="Calibri"/>
      <family val="2"/>
      <charset val="1"/>
    </font>
    <font>
      <b/>
      <sz val="14"/>
      <color theme="1" tint="0.249977111117893"/>
      <name val="Arial"/>
      <family val="2"/>
    </font>
    <font>
      <i/>
      <sz val="14"/>
      <color theme="0"/>
      <name val="Arial"/>
      <family val="2"/>
    </font>
    <font>
      <i/>
      <sz val="14"/>
      <color rgb="FF1A1A1A"/>
      <name val="Arial"/>
      <family val="2"/>
    </font>
    <font>
      <i/>
      <sz val="13"/>
      <color rgb="FF44546A"/>
      <name val="Arial"/>
      <family val="2"/>
    </font>
    <font>
      <b/>
      <sz val="13"/>
      <color rgb="FF1A1A1A"/>
      <name val="Arial"/>
      <family val="2"/>
    </font>
    <font>
      <sz val="13"/>
      <color theme="1"/>
      <name val="Calibri"/>
      <family val="2"/>
      <charset val="1"/>
    </font>
    <font>
      <b/>
      <sz val="15"/>
      <color rgb="FFFFFFFF"/>
      <name val="Arial"/>
      <family val="2"/>
    </font>
    <font>
      <sz val="15"/>
      <color theme="1"/>
      <name val="Calibri"/>
      <family val="2"/>
      <charset val="1"/>
    </font>
    <font>
      <i/>
      <sz val="15"/>
      <color rgb="FFE4E9F2"/>
      <name val="Arial"/>
      <family val="2"/>
    </font>
    <font>
      <sz val="15"/>
      <color rgb="FF1A1A1A"/>
      <name val="Arial"/>
      <family val="2"/>
    </font>
    <font>
      <b/>
      <sz val="15"/>
      <color rgb="FF1A1A1A"/>
      <name val="Arial"/>
      <family val="2"/>
    </font>
    <font>
      <sz val="13"/>
      <color theme="1"/>
      <name val="Arial"/>
      <family val="2"/>
    </font>
  </fonts>
  <fills count="13">
    <fill>
      <patternFill patternType="none"/>
    </fill>
    <fill>
      <patternFill patternType="gray125"/>
    </fill>
    <fill>
      <patternFill patternType="solid">
        <fgColor rgb="FF1F3864"/>
        <bgColor rgb="FF2E5395"/>
      </patternFill>
    </fill>
    <fill>
      <patternFill patternType="solid">
        <fgColor rgb="FF44546A"/>
        <bgColor rgb="FF2E5395"/>
      </patternFill>
    </fill>
    <fill>
      <patternFill patternType="solid">
        <fgColor rgb="FFEDEDED"/>
        <bgColor rgb="FFE4E9F2"/>
      </patternFill>
    </fill>
    <fill>
      <patternFill patternType="solid">
        <fgColor rgb="FFDCE6F7"/>
        <bgColor rgb="FFE4E9F2"/>
      </patternFill>
    </fill>
    <fill>
      <patternFill patternType="solid">
        <fgColor rgb="FFDCF2DC"/>
        <bgColor rgb="FFE4E9F2"/>
      </patternFill>
    </fill>
    <fill>
      <patternFill patternType="solid">
        <fgColor rgb="FFFFF2CC"/>
        <bgColor rgb="FFF5F5F5"/>
      </patternFill>
    </fill>
    <fill>
      <patternFill patternType="solid">
        <fgColor rgb="FFF7F9FC"/>
        <bgColor rgb="FFF5F5F5"/>
      </patternFill>
    </fill>
    <fill>
      <patternFill patternType="solid">
        <fgColor theme="0" tint="-4.9989318521683403E-2"/>
        <bgColor indexed="64"/>
      </patternFill>
    </fill>
    <fill>
      <patternFill patternType="solid">
        <fgColor theme="2" tint="-0.249977111117893"/>
        <bgColor indexed="64"/>
      </patternFill>
    </fill>
    <fill>
      <patternFill patternType="solid">
        <fgColor theme="2"/>
        <bgColor indexed="64"/>
      </patternFill>
    </fill>
    <fill>
      <patternFill patternType="solid">
        <fgColor theme="2"/>
        <bgColor rgb="FFF5F5F5"/>
      </patternFill>
    </fill>
  </fills>
  <borders count="3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rgb="FFD9D9D9"/>
      </right>
      <top/>
      <bottom style="thin">
        <color rgb="FFD9D9D9"/>
      </bottom>
      <diagonal/>
    </border>
    <border>
      <left style="thin">
        <color rgb="FFD9D9D9"/>
      </left>
      <right style="medium">
        <color indexed="64"/>
      </right>
      <top/>
      <bottom style="thin">
        <color rgb="FFD9D9D9"/>
      </bottom>
      <diagonal/>
    </border>
    <border>
      <left style="medium">
        <color indexed="64"/>
      </left>
      <right/>
      <top style="medium">
        <color indexed="64"/>
      </top>
      <bottom style="mediumDashDot">
        <color indexed="64"/>
      </bottom>
      <diagonal/>
    </border>
    <border>
      <left/>
      <right style="medium">
        <color indexed="64"/>
      </right>
      <top style="medium">
        <color indexed="64"/>
      </top>
      <bottom style="mediumDashDot">
        <color indexed="64"/>
      </bottom>
      <diagonal/>
    </border>
    <border>
      <left/>
      <right style="thin">
        <color rgb="FFD9D9D9"/>
      </right>
      <top style="thin">
        <color rgb="FFD9D9D9"/>
      </top>
      <bottom/>
      <diagonal/>
    </border>
    <border>
      <left style="thin">
        <color indexed="64"/>
      </left>
      <right style="thin">
        <color indexed="64"/>
      </right>
      <top style="thin">
        <color indexed="64"/>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
    <xf numFmtId="0" fontId="0" fillId="0" borderId="0"/>
  </cellStyleXfs>
  <cellXfs count="132">
    <xf numFmtId="0" fontId="0" fillId="0" borderId="0" xfId="0"/>
    <xf numFmtId="0" fontId="3" fillId="0" borderId="0" xfId="0" applyFont="1"/>
    <xf numFmtId="0" fontId="2" fillId="0" borderId="0" xfId="0" applyFont="1"/>
    <xf numFmtId="0" fontId="5" fillId="0" borderId="0" xfId="0" applyFont="1"/>
    <xf numFmtId="0" fontId="6" fillId="0" borderId="0" xfId="0" applyFont="1"/>
    <xf numFmtId="0" fontId="9" fillId="2" borderId="1" xfId="0" applyFont="1" applyFill="1" applyBorder="1" applyAlignment="1">
      <alignment horizontal="center" vertical="center" wrapText="1"/>
    </xf>
    <xf numFmtId="0" fontId="7" fillId="8" borderId="1" xfId="0" applyFont="1" applyFill="1" applyBorder="1" applyAlignment="1">
      <alignment vertical="top" wrapText="1"/>
    </xf>
    <xf numFmtId="0" fontId="7" fillId="0" borderId="1" xfId="0" applyFont="1" applyBorder="1" applyAlignment="1">
      <alignment vertical="top" wrapText="1"/>
    </xf>
    <xf numFmtId="0" fontId="4" fillId="0" borderId="0" xfId="0" applyFont="1"/>
    <xf numFmtId="0" fontId="11" fillId="0" borderId="0" xfId="0" applyFont="1"/>
    <xf numFmtId="0" fontId="8" fillId="0" borderId="0" xfId="0" applyFont="1"/>
    <xf numFmtId="0" fontId="15" fillId="5" borderId="12" xfId="0" applyFont="1" applyFill="1" applyBorder="1" applyAlignment="1">
      <alignment horizontal="left" vertical="center" indent="1"/>
    </xf>
    <xf numFmtId="0" fontId="15" fillId="5" borderId="13" xfId="0" applyFont="1" applyFill="1" applyBorder="1" applyAlignment="1">
      <alignment horizontal="left" vertical="center" indent="1"/>
    </xf>
    <xf numFmtId="0" fontId="15" fillId="6" borderId="12" xfId="0" applyFont="1" applyFill="1" applyBorder="1" applyAlignment="1">
      <alignment horizontal="left" vertical="center" indent="1"/>
    </xf>
    <xf numFmtId="0" fontId="15" fillId="6" borderId="13" xfId="0" applyFont="1" applyFill="1" applyBorder="1" applyAlignment="1">
      <alignment horizontal="left" vertical="center" indent="1"/>
    </xf>
    <xf numFmtId="0" fontId="16" fillId="7" borderId="14" xfId="0" applyFont="1" applyFill="1" applyBorder="1" applyAlignment="1">
      <alignment horizontal="left" vertical="center" indent="1"/>
    </xf>
    <xf numFmtId="0" fontId="16" fillId="7" borderId="15" xfId="0" applyFont="1" applyFill="1" applyBorder="1" applyAlignment="1">
      <alignment horizontal="left" vertical="center" indent="1"/>
    </xf>
    <xf numFmtId="0" fontId="7" fillId="0" borderId="16" xfId="0" applyFont="1" applyBorder="1" applyAlignment="1">
      <alignment vertical="top" wrapText="1"/>
    </xf>
    <xf numFmtId="0" fontId="7" fillId="0" borderId="17" xfId="0" applyFont="1" applyBorder="1" applyAlignment="1">
      <alignment vertical="top" wrapText="1"/>
    </xf>
    <xf numFmtId="0" fontId="7" fillId="0" borderId="7" xfId="0" applyFont="1" applyBorder="1" applyAlignment="1">
      <alignment vertical="top" wrapText="1"/>
    </xf>
    <xf numFmtId="0" fontId="17" fillId="2" borderId="1" xfId="0" applyFont="1" applyFill="1" applyBorder="1" applyAlignment="1">
      <alignment horizontal="center" vertical="center" wrapText="1"/>
    </xf>
    <xf numFmtId="0" fontId="13" fillId="8" borderId="1" xfId="0" applyFont="1" applyFill="1" applyBorder="1" applyAlignment="1">
      <alignment vertical="top" wrapText="1"/>
    </xf>
    <xf numFmtId="0" fontId="13" fillId="0" borderId="1" xfId="0" applyFont="1" applyBorder="1" applyAlignment="1">
      <alignment vertical="top" wrapText="1"/>
    </xf>
    <xf numFmtId="0" fontId="18" fillId="8" borderId="2" xfId="0" applyFont="1" applyFill="1" applyBorder="1"/>
    <xf numFmtId="0" fontId="19" fillId="8" borderId="2" xfId="0" applyFont="1" applyFill="1" applyBorder="1" applyAlignment="1">
      <alignment vertical="top" wrapText="1"/>
    </xf>
    <xf numFmtId="0" fontId="18" fillId="0" borderId="2" xfId="0" applyFont="1" applyBorder="1"/>
    <xf numFmtId="0" fontId="19" fillId="0" borderId="2" xfId="0" applyFont="1" applyBorder="1" applyAlignment="1">
      <alignment vertical="top" wrapText="1"/>
    </xf>
    <xf numFmtId="0" fontId="18" fillId="0" borderId="18" xfId="0" applyFont="1" applyBorder="1"/>
    <xf numFmtId="0" fontId="22" fillId="3" borderId="0" xfId="0" applyFont="1" applyFill="1" applyAlignment="1">
      <alignment horizontal="left" vertical="center" wrapText="1" indent="1"/>
    </xf>
    <xf numFmtId="0" fontId="1" fillId="2" borderId="0" xfId="0" applyFont="1" applyFill="1" applyAlignment="1">
      <alignment horizontal="center" vertical="center"/>
    </xf>
    <xf numFmtId="0" fontId="7" fillId="9" borderId="10" xfId="0" applyFont="1" applyFill="1" applyBorder="1" applyAlignment="1">
      <alignment vertical="top" wrapText="1"/>
    </xf>
    <xf numFmtId="0" fontId="7" fillId="9" borderId="0" xfId="0" applyFont="1" applyFill="1" applyBorder="1" applyAlignment="1">
      <alignment vertical="top" wrapText="1"/>
    </xf>
    <xf numFmtId="0" fontId="7" fillId="9" borderId="11" xfId="0" applyFont="1" applyFill="1" applyBorder="1" applyAlignment="1">
      <alignment vertical="top" wrapText="1"/>
    </xf>
    <xf numFmtId="0" fontId="6" fillId="9" borderId="7" xfId="0" applyFont="1" applyFill="1" applyBorder="1" applyAlignment="1">
      <alignment horizontal="center"/>
    </xf>
    <xf numFmtId="0" fontId="6" fillId="9" borderId="8" xfId="0" applyFont="1" applyFill="1" applyBorder="1" applyAlignment="1">
      <alignment horizontal="center"/>
    </xf>
    <xf numFmtId="0" fontId="6" fillId="9" borderId="9" xfId="0" applyFont="1" applyFill="1" applyBorder="1" applyAlignment="1">
      <alignment horizontal="center"/>
    </xf>
    <xf numFmtId="0" fontId="6" fillId="0" borderId="10" xfId="0" applyFont="1" applyFill="1" applyBorder="1" applyAlignment="1">
      <alignment horizontal="center"/>
    </xf>
    <xf numFmtId="0" fontId="6" fillId="0" borderId="0" xfId="0" applyFont="1" applyFill="1" applyBorder="1" applyAlignment="1">
      <alignment horizontal="center"/>
    </xf>
    <xf numFmtId="0" fontId="15" fillId="4" borderId="19" xfId="0" applyFont="1" applyFill="1" applyBorder="1" applyAlignment="1">
      <alignment horizontal="left" vertical="center" indent="1"/>
    </xf>
    <xf numFmtId="0" fontId="15" fillId="4" borderId="20" xfId="0" applyFont="1" applyFill="1" applyBorder="1" applyAlignment="1">
      <alignment horizontal="left" vertical="center" indent="1"/>
    </xf>
    <xf numFmtId="0" fontId="21" fillId="0" borderId="21" xfId="0" applyFont="1" applyBorder="1"/>
    <xf numFmtId="0" fontId="14" fillId="0" borderId="22" xfId="0" applyFont="1" applyBorder="1"/>
    <xf numFmtId="0" fontId="0" fillId="0" borderId="0" xfId="0" applyAlignment="1">
      <alignment horizontal="center"/>
    </xf>
    <xf numFmtId="0" fontId="20" fillId="2" borderId="23"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0" fillId="0" borderId="25" xfId="0" applyBorder="1"/>
    <xf numFmtId="0" fontId="23" fillId="0" borderId="3" xfId="0" applyFont="1" applyBorder="1" applyAlignment="1">
      <alignment horizontal="left"/>
    </xf>
    <xf numFmtId="0" fontId="23" fillId="0" borderId="4" xfId="0" applyFont="1" applyBorder="1" applyAlignment="1">
      <alignment horizontal="left"/>
    </xf>
    <xf numFmtId="0" fontId="23" fillId="0" borderId="5" xfId="0" applyFont="1" applyBorder="1" applyAlignment="1">
      <alignment horizontal="left"/>
    </xf>
    <xf numFmtId="0" fontId="23" fillId="0" borderId="10" xfId="0" applyFont="1" applyBorder="1" applyAlignment="1">
      <alignment horizontal="left"/>
    </xf>
    <xf numFmtId="0" fontId="23" fillId="0" borderId="0" xfId="0" applyFont="1" applyBorder="1" applyAlignment="1">
      <alignment horizontal="left"/>
    </xf>
    <xf numFmtId="0" fontId="23" fillId="0" borderId="11" xfId="0" applyFont="1" applyBorder="1" applyAlignment="1">
      <alignment horizontal="left"/>
    </xf>
    <xf numFmtId="0" fontId="17" fillId="2" borderId="0" xfId="0" applyFont="1" applyFill="1" applyAlignment="1">
      <alignment horizontal="left" vertical="center" indent="1"/>
    </xf>
    <xf numFmtId="0" fontId="24" fillId="3" borderId="0" xfId="0" applyFont="1" applyFill="1" applyAlignment="1">
      <alignment horizontal="left" vertical="center" wrapText="1" indent="1"/>
    </xf>
    <xf numFmtId="0" fontId="25" fillId="3" borderId="0" xfId="0" applyFont="1" applyFill="1" applyAlignment="1">
      <alignment horizontal="left" vertical="center" wrapText="1" indent="1"/>
    </xf>
    <xf numFmtId="0" fontId="10" fillId="0" borderId="1" xfId="0" applyFont="1" applyBorder="1" applyAlignment="1">
      <alignment horizontal="left" vertical="center"/>
    </xf>
    <xf numFmtId="0" fontId="6" fillId="7" borderId="1" xfId="0" applyFont="1" applyFill="1" applyBorder="1"/>
    <xf numFmtId="0" fontId="5" fillId="7" borderId="1" xfId="0" applyFont="1" applyFill="1" applyBorder="1"/>
    <xf numFmtId="0" fontId="9" fillId="3"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9" fontId="5" fillId="8" borderId="1" xfId="0" applyNumberFormat="1" applyFont="1" applyFill="1" applyBorder="1" applyAlignment="1">
      <alignment horizontal="center" vertical="center" wrapText="1"/>
    </xf>
    <xf numFmtId="0" fontId="7" fillId="8" borderId="1" xfId="0" applyFont="1" applyFill="1" applyBorder="1" applyAlignment="1">
      <alignment horizontal="left" vertical="center"/>
    </xf>
    <xf numFmtId="0" fontId="7" fillId="8" borderId="1" xfId="0" applyFont="1" applyFill="1" applyBorder="1" applyAlignment="1">
      <alignment horizontal="center" vertical="center" wrapText="1"/>
    </xf>
    <xf numFmtId="9" fontId="7" fillId="8" borderId="1" xfId="0" applyNumberFormat="1" applyFont="1" applyFill="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wrapText="1"/>
    </xf>
    <xf numFmtId="9" fontId="7" fillId="0" borderId="1" xfId="0" applyNumberFormat="1" applyFont="1" applyBorder="1" applyAlignment="1">
      <alignment horizontal="center" vertical="center" wrapText="1"/>
    </xf>
    <xf numFmtId="0" fontId="7" fillId="8" borderId="1" xfId="0" applyFont="1" applyFill="1" applyBorder="1" applyAlignment="1">
      <alignment horizontal="left" vertical="center" wrapText="1"/>
    </xf>
    <xf numFmtId="0" fontId="7" fillId="0" borderId="1" xfId="0" applyFont="1" applyBorder="1" applyAlignment="1">
      <alignment horizontal="left" vertical="center" wrapText="1"/>
    </xf>
    <xf numFmtId="0" fontId="9" fillId="2" borderId="0" xfId="0" applyFont="1" applyFill="1" applyAlignment="1">
      <alignment horizontal="center" vertical="center"/>
    </xf>
    <xf numFmtId="0" fontId="26" fillId="0" borderId="0" xfId="0" applyFont="1"/>
    <xf numFmtId="0" fontId="12" fillId="8" borderId="1" xfId="0" applyFont="1" applyFill="1" applyBorder="1" applyAlignment="1">
      <alignment vertical="top" wrapText="1"/>
    </xf>
    <xf numFmtId="0" fontId="12" fillId="0" borderId="1" xfId="0" applyFont="1" applyBorder="1" applyAlignment="1">
      <alignment vertical="top" wrapText="1"/>
    </xf>
    <xf numFmtId="0" fontId="17" fillId="3" borderId="0" xfId="0" applyFont="1" applyFill="1" applyAlignment="1">
      <alignment horizontal="left" vertical="center" indent="1"/>
    </xf>
    <xf numFmtId="0" fontId="27" fillId="0" borderId="0" xfId="0" applyFont="1" applyAlignment="1">
      <alignment vertical="top" wrapText="1"/>
    </xf>
    <xf numFmtId="0" fontId="9" fillId="3" borderId="0" xfId="0" applyFont="1" applyFill="1" applyAlignment="1">
      <alignment horizontal="left" vertical="center" indent="1"/>
    </xf>
    <xf numFmtId="0" fontId="28" fillId="0" borderId="0" xfId="0" applyFont="1" applyAlignment="1">
      <alignment vertical="top" wrapText="1"/>
    </xf>
    <xf numFmtId="0" fontId="29" fillId="0" borderId="1" xfId="0" applyFont="1" applyBorder="1" applyAlignment="1">
      <alignment vertical="top" wrapText="1"/>
    </xf>
    <xf numFmtId="0" fontId="29" fillId="8" borderId="1" xfId="0" applyFont="1" applyFill="1" applyBorder="1" applyAlignment="1">
      <alignment vertical="top" wrapText="1"/>
    </xf>
    <xf numFmtId="0" fontId="28" fillId="8" borderId="1" xfId="0" applyFont="1" applyFill="1" applyBorder="1" applyAlignment="1">
      <alignment vertical="top" wrapText="1"/>
    </xf>
    <xf numFmtId="0" fontId="28" fillId="0" borderId="1" xfId="0" applyFont="1" applyBorder="1" applyAlignment="1">
      <alignment vertical="top" wrapText="1"/>
    </xf>
    <xf numFmtId="0" fontId="17" fillId="2" borderId="0" xfId="0" applyFont="1" applyFill="1" applyAlignment="1">
      <alignment horizontal="center" vertical="center"/>
    </xf>
    <xf numFmtId="0" fontId="25" fillId="3" borderId="0" xfId="0" applyFont="1" applyFill="1" applyAlignment="1">
      <alignment horizontal="center" vertical="center" wrapText="1"/>
    </xf>
    <xf numFmtId="0" fontId="30" fillId="0" borderId="0" xfId="0" applyFont="1"/>
    <xf numFmtId="0" fontId="10" fillId="0" borderId="1" xfId="0" applyFont="1" applyBorder="1" applyAlignment="1">
      <alignment vertical="top" wrapText="1"/>
    </xf>
    <xf numFmtId="0" fontId="10" fillId="8" borderId="1" xfId="0" applyFont="1" applyFill="1" applyBorder="1" applyAlignment="1">
      <alignment vertical="top" wrapText="1"/>
    </xf>
    <xf numFmtId="0" fontId="7" fillId="7" borderId="1" xfId="0" applyFont="1" applyFill="1" applyBorder="1" applyAlignment="1">
      <alignment vertical="top" wrapText="1"/>
    </xf>
    <xf numFmtId="0" fontId="31" fillId="2"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3" fillId="0" borderId="1" xfId="0" applyFont="1" applyBorder="1" applyAlignment="1">
      <alignment vertical="top" wrapText="1"/>
    </xf>
    <xf numFmtId="0" fontId="33" fillId="8" borderId="1" xfId="0" applyFont="1" applyFill="1" applyBorder="1" applyAlignment="1">
      <alignment vertical="top" wrapText="1"/>
    </xf>
    <xf numFmtId="0" fontId="34" fillId="0" borderId="0" xfId="0" applyFont="1"/>
    <xf numFmtId="0" fontId="7" fillId="10" borderId="10" xfId="0" applyFont="1" applyFill="1" applyBorder="1" applyAlignment="1">
      <alignment vertical="top" wrapText="1"/>
    </xf>
    <xf numFmtId="0" fontId="7" fillId="10" borderId="0" xfId="0" applyFont="1" applyFill="1" applyBorder="1" applyAlignment="1">
      <alignment vertical="top" wrapText="1"/>
    </xf>
    <xf numFmtId="0" fontId="7" fillId="10" borderId="11" xfId="0" applyFont="1" applyFill="1" applyBorder="1" applyAlignment="1">
      <alignment vertical="top" wrapText="1"/>
    </xf>
    <xf numFmtId="0" fontId="36" fillId="3" borderId="0" xfId="0" applyFont="1" applyFill="1" applyAlignment="1">
      <alignment horizontal="left" vertical="center" wrapText="1" indent="1"/>
    </xf>
    <xf numFmtId="0" fontId="35" fillId="9" borderId="26" xfId="0" applyFont="1" applyFill="1" applyBorder="1" applyAlignment="1">
      <alignment vertical="top" wrapText="1"/>
    </xf>
    <xf numFmtId="0" fontId="35" fillId="9" borderId="27" xfId="0" applyFont="1" applyFill="1" applyBorder="1" applyAlignment="1">
      <alignment vertical="top" wrapText="1"/>
    </xf>
    <xf numFmtId="0" fontId="35" fillId="9" borderId="28" xfId="0" applyFont="1" applyFill="1" applyBorder="1" applyAlignment="1">
      <alignment vertical="top" wrapText="1"/>
    </xf>
    <xf numFmtId="0" fontId="35" fillId="9" borderId="29" xfId="0" applyFont="1" applyFill="1" applyBorder="1" applyAlignment="1">
      <alignment vertical="top" wrapText="1"/>
    </xf>
    <xf numFmtId="0" fontId="35" fillId="9" borderId="0" xfId="0" applyFont="1" applyFill="1" applyBorder="1" applyAlignment="1">
      <alignment vertical="top" wrapText="1"/>
    </xf>
    <xf numFmtId="0" fontId="35" fillId="9" borderId="30" xfId="0" applyFont="1" applyFill="1" applyBorder="1" applyAlignment="1">
      <alignment vertical="top" wrapText="1"/>
    </xf>
    <xf numFmtId="0" fontId="35" fillId="9" borderId="31" xfId="0" applyFont="1" applyFill="1" applyBorder="1" applyAlignment="1">
      <alignment vertical="top" wrapText="1"/>
    </xf>
    <xf numFmtId="0" fontId="35" fillId="9" borderId="32" xfId="0" applyFont="1" applyFill="1" applyBorder="1" applyAlignment="1">
      <alignment vertical="top" wrapText="1"/>
    </xf>
    <xf numFmtId="0" fontId="35" fillId="9" borderId="33" xfId="0" applyFont="1" applyFill="1" applyBorder="1" applyAlignment="1">
      <alignment vertical="top" wrapText="1"/>
    </xf>
    <xf numFmtId="0" fontId="10" fillId="0" borderId="1" xfId="0" applyFont="1" applyBorder="1"/>
    <xf numFmtId="0" fontId="6" fillId="0" borderId="0" xfId="0" applyFont="1" applyAlignment="1">
      <alignment horizontal="center"/>
    </xf>
    <xf numFmtId="0" fontId="11" fillId="0" borderId="0" xfId="0" applyFont="1" applyAlignment="1">
      <alignment horizontal="center"/>
    </xf>
    <xf numFmtId="0" fontId="37" fillId="0" borderId="1" xfId="0" applyFont="1" applyBorder="1" applyAlignment="1">
      <alignment vertical="top" wrapText="1"/>
    </xf>
    <xf numFmtId="0" fontId="37" fillId="8"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38" fillId="8" borderId="1" xfId="0" applyFont="1" applyFill="1" applyBorder="1" applyAlignment="1">
      <alignment vertical="top" wrapText="1"/>
    </xf>
    <xf numFmtId="0" fontId="39" fillId="0" borderId="1" xfId="0" applyFont="1" applyBorder="1" applyAlignment="1">
      <alignment horizontal="left" vertical="top"/>
    </xf>
    <xf numFmtId="0" fontId="40" fillId="7" borderId="1" xfId="0" applyFont="1" applyFill="1" applyBorder="1" applyAlignment="1">
      <alignment vertical="top" wrapText="1"/>
    </xf>
    <xf numFmtId="0" fontId="42" fillId="0" borderId="0" xfId="0" applyFont="1"/>
    <xf numFmtId="0" fontId="43" fillId="3" borderId="0" xfId="0" applyFont="1" applyFill="1" applyAlignment="1">
      <alignment horizontal="left" vertical="center" wrapText="1" indent="1"/>
    </xf>
    <xf numFmtId="0" fontId="41" fillId="2" borderId="1" xfId="0" applyFont="1" applyFill="1" applyBorder="1" applyAlignment="1">
      <alignment horizontal="center" vertical="center" wrapText="1"/>
    </xf>
    <xf numFmtId="0" fontId="44" fillId="0" borderId="1" xfId="0" applyFont="1" applyBorder="1" applyAlignment="1">
      <alignment vertical="top" wrapText="1"/>
    </xf>
    <xf numFmtId="0" fontId="44" fillId="8" borderId="1" xfId="0" applyFont="1" applyFill="1" applyBorder="1" applyAlignment="1">
      <alignment vertical="top" wrapText="1"/>
    </xf>
    <xf numFmtId="0" fontId="41" fillId="2" borderId="0" xfId="0" applyFont="1" applyFill="1" applyAlignment="1">
      <alignment horizontal="center" vertical="center"/>
    </xf>
    <xf numFmtId="0" fontId="41" fillId="2" borderId="0" xfId="0" applyFont="1" applyFill="1" applyAlignment="1">
      <alignment horizontal="center" vertical="center"/>
    </xf>
    <xf numFmtId="0" fontId="43" fillId="3" borderId="0" xfId="0" applyFont="1" applyFill="1" applyAlignment="1">
      <alignment horizontal="left" vertical="center" wrapText="1" indent="1"/>
    </xf>
    <xf numFmtId="0" fontId="41" fillId="2" borderId="0" xfId="0" applyFont="1" applyFill="1" applyBorder="1" applyAlignment="1">
      <alignment horizontal="center" vertical="center" wrapText="1"/>
    </xf>
    <xf numFmtId="0" fontId="45" fillId="0" borderId="1" xfId="0" applyFont="1" applyBorder="1"/>
    <xf numFmtId="0" fontId="45" fillId="8" borderId="1" xfId="0" applyFont="1" applyFill="1" applyBorder="1"/>
    <xf numFmtId="0" fontId="28" fillId="0" borderId="0" xfId="0" applyFont="1" applyAlignment="1">
      <alignment vertical="center" wrapText="1"/>
    </xf>
    <xf numFmtId="0" fontId="5" fillId="0" borderId="0" xfId="0" applyFont="1" applyAlignment="1">
      <alignment horizontal="left"/>
    </xf>
    <xf numFmtId="0" fontId="36" fillId="3" borderId="0" xfId="0" applyFont="1" applyFill="1" applyAlignment="1">
      <alignment horizontal="center" vertical="center" wrapText="1"/>
    </xf>
    <xf numFmtId="0" fontId="46" fillId="8" borderId="1" xfId="0" applyFont="1" applyFill="1" applyBorder="1" applyAlignment="1">
      <alignment vertical="top" wrapText="1"/>
    </xf>
    <xf numFmtId="0" fontId="0" fillId="0" borderId="0" xfId="0" applyAlignment="1"/>
  </cellXfs>
  <cellStyles count="1">
    <cellStyle name="Normal" xfId="0" builtinId="0"/>
  </cellStyles>
  <dxfs count="37">
    <dxf>
      <fill>
        <patternFill>
          <bgColor rgb="FFDCF2DC"/>
        </patternFill>
      </fill>
    </dxf>
    <dxf>
      <fill>
        <patternFill>
          <bgColor rgb="FFDCE6F7"/>
        </patternFill>
      </fill>
    </dxf>
    <dxf>
      <fill>
        <patternFill>
          <bgColor rgb="FFEDEDED"/>
        </patternFill>
      </fill>
    </dxf>
    <dxf>
      <font>
        <sz val="11"/>
        <color rgb="FF9C9C9C"/>
        <name val="Arial"/>
        <charset val="1"/>
      </font>
      <fill>
        <patternFill>
          <bgColor rgb="FFF5F5F5"/>
        </patternFill>
      </fill>
    </dxf>
    <dxf>
      <fill>
        <patternFill>
          <bgColor rgb="FFDCF2DC"/>
        </patternFill>
      </fill>
    </dxf>
    <dxf>
      <fill>
        <patternFill>
          <bgColor rgb="FFDCE6F7"/>
        </patternFill>
      </fill>
    </dxf>
    <dxf>
      <fill>
        <patternFill>
          <bgColor rgb="FFEDEDED"/>
        </patternFill>
      </fill>
    </dxf>
    <dxf>
      <font>
        <sz val="11"/>
        <color rgb="FF9C9C9C"/>
        <name val="Arial"/>
        <charset val="1"/>
      </font>
      <fill>
        <patternFill>
          <bgColor rgb="FFF5F5F5"/>
        </patternFill>
      </fill>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
      <font>
        <strike val="0"/>
        <outline val="0"/>
        <shadow val="0"/>
        <u val="none"/>
        <vertAlign val="baseline"/>
        <sz val="14"/>
        <name val="Arial"/>
        <family val="2"/>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F7F9FC"/>
      <rgbColor rgb="FF808080"/>
      <rgbColor rgb="FF9999FF"/>
      <rgbColor rgb="FF7030A0"/>
      <rgbColor rgb="FFFFF2CC"/>
      <rgbColor rgb="FFDCE6F7"/>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E4E9F2"/>
      <rgbColor rgb="FFDCF2DC"/>
      <rgbColor rgb="FFF5F5F5"/>
      <rgbColor rgb="FF99CCFF"/>
      <rgbColor rgb="FFFF99CC"/>
      <rgbColor rgb="FFCC99FF"/>
      <rgbColor rgb="FFEDEDED"/>
      <rgbColor rgb="FF3366FF"/>
      <rgbColor rgb="FF33CCCC"/>
      <rgbColor rgb="FF99CC00"/>
      <rgbColor rgb="FFFFCC00"/>
      <rgbColor rgb="FFC9A227"/>
      <rgbColor rgb="FFFF6600"/>
      <rgbColor rgb="FF44546A"/>
      <rgbColor rgb="FF9C9C9C"/>
      <rgbColor rgb="FF1F3864"/>
      <rgbColor rgb="FF339966"/>
      <rgbColor rgb="FF003300"/>
      <rgbColor rgb="FF333300"/>
      <rgbColor rgb="FF993300"/>
      <rgbColor rgb="FF993366"/>
      <rgbColor rgb="FF2E5395"/>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304800</xdr:colOff>
      <xdr:row>1</xdr:row>
      <xdr:rowOff>50800</xdr:rowOff>
    </xdr:from>
    <xdr:to>
      <xdr:col>14</xdr:col>
      <xdr:colOff>330200</xdr:colOff>
      <xdr:row>18</xdr:row>
      <xdr:rowOff>25400</xdr:rowOff>
    </xdr:to>
    <xdr:sp macro="" textlink="">
      <xdr:nvSpPr>
        <xdr:cNvPr id="2" name="TextBox 1">
          <a:extLst>
            <a:ext uri="{FF2B5EF4-FFF2-40B4-BE49-F238E27FC236}">
              <a16:creationId xmlns:a16="http://schemas.microsoft.com/office/drawing/2014/main" id="{8527DDD0-C6C7-CF8D-D10D-8FBB0BAEBAE0}"/>
            </a:ext>
          </a:extLst>
        </xdr:cNvPr>
        <xdr:cNvSpPr txBox="1"/>
      </xdr:nvSpPr>
      <xdr:spPr>
        <a:xfrm>
          <a:off x="15798800" y="469900"/>
          <a:ext cx="6629400" cy="7239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dk1"/>
              </a:solidFill>
              <a:effectLst/>
              <a:latin typeface="+mn-lt"/>
              <a:ea typeface="+mn-ea"/>
              <a:cs typeface="+mn-cs"/>
            </a:rPr>
            <a:t>Introduction</a:t>
          </a:r>
        </a:p>
        <a:p>
          <a:endParaRPr lang="en-US" sz="1800" b="1" i="1">
            <a:solidFill>
              <a:schemeClr val="dk1"/>
            </a:solidFill>
            <a:effectLst/>
            <a:latin typeface="+mn-lt"/>
            <a:ea typeface="+mn-ea"/>
            <a:cs typeface="+mn-cs"/>
          </a:endParaRPr>
        </a:p>
        <a:p>
          <a:r>
            <a:rPr lang="en-US" sz="1800">
              <a:solidFill>
                <a:schemeClr val="dk1"/>
              </a:solidFill>
              <a:effectLst/>
              <a:latin typeface="+mn-lt"/>
              <a:ea typeface="+mn-ea"/>
              <a:cs typeface="+mn-cs"/>
            </a:rPr>
            <a:t>Starting a doctoral program in rhetoric and composition means entering a field with its own vocabulary, culture, and unspoken expectations—and doing so largely without a map. This guide is an attempt to provide that map. It was designed for students at every stage of their PhD journey. Inside, you will find year-by-year planning templates, explanations of major milestones like comprehensive exams and the prospectus, career-track guides for six different professional paths in the field, and a glossary that defines the acronyms and terms that tend to get used without explanation. </a:t>
          </a:r>
        </a:p>
        <a:p>
          <a:endParaRPr lang="en-US" sz="1800">
            <a:solidFill>
              <a:schemeClr val="dk1"/>
            </a:solidFill>
            <a:effectLst/>
            <a:latin typeface="+mn-lt"/>
            <a:ea typeface="+mn-ea"/>
            <a:cs typeface="+mn-cs"/>
          </a:endParaRPr>
        </a:p>
        <a:p>
          <a:endParaRPr lang="en-US" sz="1800">
            <a:solidFill>
              <a:schemeClr val="dk1"/>
            </a:solidFill>
            <a:effectLst/>
            <a:latin typeface="+mn-lt"/>
            <a:ea typeface="+mn-ea"/>
            <a:cs typeface="+mn-cs"/>
          </a:endParaRPr>
        </a:p>
        <a:p>
          <a:r>
            <a:rPr lang="en-US" sz="1800">
              <a:solidFill>
                <a:schemeClr val="dk1"/>
              </a:solidFill>
              <a:effectLst/>
              <a:latin typeface="+mn-lt"/>
              <a:ea typeface="+mn-ea"/>
              <a:cs typeface="+mn-cs"/>
            </a:rPr>
            <a:t>Nothing in this template is a substitute for conversations with your advisor—requirements vary by program, and your advisor is always your best source for specifics. Think of this guide as a starting point for those conversations, a reference you can return to throughout your five years, and a reminder that the path to a PhD is rarely linear but is absolutely navigable.</a:t>
          </a:r>
        </a:p>
        <a:p>
          <a:endParaRPr lang="en-US" sz="1800">
            <a:solidFill>
              <a:schemeClr val="dk1"/>
            </a:solidFill>
            <a:effectLst/>
            <a:latin typeface="+mn-lt"/>
            <a:ea typeface="+mn-ea"/>
            <a:cs typeface="+mn-cs"/>
          </a:endParaRPr>
        </a:p>
        <a:p>
          <a:endParaRPr lang="en-US" sz="1800">
            <a:solidFill>
              <a:schemeClr val="dk1"/>
            </a:solidFill>
            <a:effectLst/>
            <a:latin typeface="+mn-lt"/>
            <a:ea typeface="+mn-ea"/>
            <a:cs typeface="+mn-cs"/>
          </a:endParaRPr>
        </a:p>
        <a:p>
          <a:r>
            <a:rPr lang="en-US" sz="1800">
              <a:solidFill>
                <a:schemeClr val="dk1"/>
              </a:solidFill>
              <a:effectLst/>
              <a:latin typeface="+mn-lt"/>
              <a:ea typeface="+mn-ea"/>
              <a:cs typeface="+mn-cs"/>
            </a:rPr>
            <a:t>These templates are designed to help graduate students plan Years 1–5 in the program. Use them as guides, not strict rules. Consult your advisor and program handbook to adapt timelines and deadlines to your institution.</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PlannerTable" displayName="PlannerTable" ref="A4:M77" totalsRowShown="0" headerRowDxfId="23" dataDxfId="22">
  <autoFilter ref="A4:M77" xr:uid="{00000000-000C-0000-FFFF-FFFF00000000}"/>
  <sortState xmlns:xlrd2="http://schemas.microsoft.com/office/spreadsheetml/2017/richdata2" ref="A5:M77">
    <sortCondition ref="A4:A77"/>
  </sortState>
  <tableColumns count="13">
    <tableColumn id="1" xr3:uid="{00000000-0010-0000-0000-000001000000}" name="Target_x000a_Year" dataDxfId="36"/>
    <tableColumn id="2" xr3:uid="{00000000-0010-0000-0000-000002000000}" name="Timing / Semester Notes" dataDxfId="35"/>
    <tableColumn id="3" xr3:uid="{00000000-0010-0000-0000-000003000000}" name="Category" dataDxfId="34"/>
    <tableColumn id="4" xr3:uid="{00000000-0010-0000-0000-000004000000}" name="Requirement / Task" dataDxfId="33"/>
    <tableColumn id="5" xr3:uid="{00000000-0010-0000-0000-000005000000}" name="Priority" dataDxfId="32"/>
    <tableColumn id="6" xr3:uid="{00000000-0010-0000-0000-000006000000}" name="Career Track" dataDxfId="31"/>
    <tableColumn id="7" xr3:uid="{00000000-0010-0000-0000-000007000000}" name="Status" dataDxfId="30"/>
    <tableColumn id="8" xr3:uid="{00000000-0010-0000-0000-000008000000}" name="Evidence / Deliverable &amp; Reviewer" dataDxfId="29"/>
    <tableColumn id="9" xr3:uid="{00000000-0010-0000-0000-000009000000}" name="Institution-Specific_x000a_Deadline (fill in)" dataDxfId="28"/>
    <tableColumn id="10" xr3:uid="{00000000-0010-0000-0000-00000A000000}" name="Access Planning / Notes (fill in)" dataDxfId="27"/>
    <tableColumn id="11" xr3:uid="{00000000-0010-0000-0000-00000B000000}" name="Actual Completion_x000a_Date (fill in)" dataDxfId="26"/>
    <tableColumn id="12" xr3:uid="{00000000-0010-0000-0000-00000C000000}" name="Pace / Gap Notes_x000a_(fill in)" dataDxfId="25"/>
    <tableColumn id="13" xr3:uid="{00000000-0010-0000-0000-00000D000000}" name="Relevant to_x000a_Selected Track?"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DocLogTable" displayName="DocLogTable" ref="A6:F20" totalsRowShown="0" headerRowDxfId="15" dataDxfId="14">
  <autoFilter ref="A6:F20" xr:uid="{00000000-0009-0000-0100-000002000000}"/>
  <tableColumns count="6">
    <tableColumn id="1" xr3:uid="{00000000-0010-0000-0200-000001000000}" name="Date" dataDxfId="21"/>
    <tableColumn id="2" xr3:uid="{00000000-0010-0000-0200-000002000000}" name="Category" dataDxfId="20"/>
    <tableColumn id="3" xr3:uid="{00000000-0010-0000-0200-000003000000}" name="Who (person / office)" dataDxfId="19"/>
    <tableColumn id="4" xr3:uid="{00000000-0010-0000-0200-000004000000}" name="What was said or approved" dataDxfId="18"/>
    <tableColumn id="5" xr3:uid="{00000000-0010-0000-0200-000005000000}" name="Where it's documented" dataDxfId="17"/>
    <tableColumn id="6" xr3:uid="{00000000-0010-0000-0200-000006000000}" name="Follow-up needed?"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atternsTable" displayName="PatternsTable" ref="A26:D36" totalsRowShown="0" headerRowDxfId="9" dataDxfId="8">
  <autoFilter ref="A26:D36" xr:uid="{00000000-0009-0000-0100-000003000000}"/>
  <tableColumns count="4">
    <tableColumn id="1" xr3:uid="{00000000-0010-0000-0300-000001000000}" name="Date" dataDxfId="13"/>
    <tableColumn id="2" xr3:uid="{00000000-0010-0000-0300-000002000000}" name="What happened" dataDxfId="12"/>
    <tableColumn id="3" xr3:uid="{00000000-0010-0000-0300-000003000000}" name="Pattern you're noticing" dataDxfId="11"/>
    <tableColumn id="4" xr3:uid="{00000000-0010-0000-0300-000004000000}" name="Notes" dataDxfId="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lifespanwriting.org/" TargetMode="External"/><Relationship Id="rId21" Type="http://schemas.openxmlformats.org/officeDocument/2006/relationships/hyperlink" Target="https://slacwpa.org/" TargetMode="External"/><Relationship Id="rId42" Type="http://schemas.openxmlformats.org/officeDocument/2006/relationships/hyperlink" Target="https://escholarship.org/uc/jwa" TargetMode="External"/><Relationship Id="rId47" Type="http://schemas.openxmlformats.org/officeDocument/2006/relationships/hyperlink" Target="https://muse.jhu.edu/journal/151" TargetMode="External"/><Relationship Id="rId63" Type="http://schemas.openxmlformats.org/officeDocument/2006/relationships/hyperlink" Target="https://rhetoricsociety.org/" TargetMode="External"/><Relationship Id="rId68" Type="http://schemas.openxmlformats.org/officeDocument/2006/relationships/hyperlink" Target="https://sc.edu/about/offices_and_divisions/national_resource_center/events/conferences/first-year_experience/index.php" TargetMode="External"/><Relationship Id="rId84" Type="http://schemas.openxmlformats.org/officeDocument/2006/relationships/hyperlink" Target="https://www.upcolorado.com/writing-research-pedagogy-and-policy-series" TargetMode="External"/><Relationship Id="rId89" Type="http://schemas.openxmlformats.org/officeDocument/2006/relationships/hyperlink" Target="https://groups.google.com/g/wpa-announcements" TargetMode="External"/><Relationship Id="rId16" Type="http://schemas.openxmlformats.org/officeDocument/2006/relationships/hyperlink" Target="https://writingcenters.org/" TargetMode="External"/><Relationship Id="rId11" Type="http://schemas.openxmlformats.org/officeDocument/2006/relationships/hyperlink" Target="https://cptsc.org/" TargetMode="External"/><Relationship Id="rId32" Type="http://schemas.openxmlformats.org/officeDocument/2006/relationships/hyperlink" Target="http://www.ncte.org/journals/ce/issues" TargetMode="External"/><Relationship Id="rId37" Type="http://schemas.openxmlformats.org/officeDocument/2006/relationships/hyperlink" Target="https://procomm.ieee.org/transactions-of-professional-communication/" TargetMode="External"/><Relationship Id="rId53" Type="http://schemas.openxmlformats.org/officeDocument/2006/relationships/hyperlink" Target="http://www.tandfonline.com/loi/hrhr20" TargetMode="External"/><Relationship Id="rId58" Type="http://schemas.openxmlformats.org/officeDocument/2006/relationships/hyperlink" Target="https://wacclearinghouse.org/journal/" TargetMode="External"/><Relationship Id="rId74" Type="http://schemas.openxmlformats.org/officeDocument/2006/relationships/hyperlink" Target="https://slacwpa.org/index.php/slac-wpa-conference/2026-slac-wpa-conference-at-amherst-college/" TargetMode="External"/><Relationship Id="rId79" Type="http://schemas.openxmlformats.org/officeDocument/2006/relationships/hyperlink" Target="https://ncte.org/groups/tyca/tyca-regions-conferences/" TargetMode="External"/><Relationship Id="rId5" Type="http://schemas.openxmlformats.org/officeDocument/2006/relationships/hyperlink" Target="https://communitywriting.org/" TargetMode="External"/><Relationship Id="rId90" Type="http://schemas.openxmlformats.org/officeDocument/2006/relationships/hyperlink" Target="https://sites.google.com/view/ws-linfo/hashtags-list?authuser=0" TargetMode="External"/><Relationship Id="rId22" Type="http://schemas.openxmlformats.org/officeDocument/2006/relationships/hyperlink" Target="https://pmatsuda.net/sslw/" TargetMode="External"/><Relationship Id="rId27" Type="http://schemas.openxmlformats.org/officeDocument/2006/relationships/hyperlink" Target="https://wrapnetwork.org/" TargetMode="External"/><Relationship Id="rId43" Type="http://schemas.openxmlformats.org/officeDocument/2006/relationships/hyperlink" Target="http://kairos.technorhetoric.net/" TargetMode="External"/><Relationship Id="rId48" Type="http://schemas.openxmlformats.org/officeDocument/2006/relationships/hyperlink" Target="https://www.presenttensejournal.org/" TargetMode="External"/><Relationship Id="rId64" Type="http://schemas.openxmlformats.org/officeDocument/2006/relationships/hyperlink" Target="https://communitywriting.org/conference-on-community-writing/" TargetMode="External"/><Relationship Id="rId69" Type="http://schemas.openxmlformats.org/officeDocument/2006/relationships/hyperlink" Target="https://wrab2026.com/" TargetMode="External"/><Relationship Id="rId8" Type="http://schemas.openxmlformats.org/officeDocument/2006/relationships/hyperlink" Target="https://gradconsortium.org/" TargetMode="External"/><Relationship Id="rId51" Type="http://schemas.openxmlformats.org/officeDocument/2006/relationships/hyperlink" Target="http://www.ncte.org/journals/rte/issues" TargetMode="External"/><Relationship Id="rId72" Type="http://schemas.openxmlformats.org/officeDocument/2006/relationships/hyperlink" Target="https://iwca.wildapricot.org/AnnualConference" TargetMode="External"/><Relationship Id="rId80" Type="http://schemas.openxmlformats.org/officeDocument/2006/relationships/hyperlink" Target="https://wisymposium.com/" TargetMode="External"/><Relationship Id="rId85" Type="http://schemas.openxmlformats.org/officeDocument/2006/relationships/hyperlink" Target="https://wacclearinghouse.org/" TargetMode="External"/><Relationship Id="rId93" Type="http://schemas.openxmlformats.org/officeDocument/2006/relationships/hyperlink" Target="http://rhetmap.org/" TargetMode="External"/><Relationship Id="rId3" Type="http://schemas.openxmlformats.org/officeDocument/2006/relationships/hyperlink" Target="https://wacassociation.org/iwac-conference/" TargetMode="External"/><Relationship Id="rId12" Type="http://schemas.openxmlformats.org/officeDocument/2006/relationships/hyperlink" Target="https://clacollective.org/" TargetMode="External"/><Relationship Id="rId17" Type="http://schemas.openxmlformats.org/officeDocument/2006/relationships/hyperlink" Target="https://procomm.ieee.org/" TargetMode="External"/><Relationship Id="rId25" Type="http://schemas.openxmlformats.org/officeDocument/2006/relationships/hyperlink" Target="https://kbjournal.org/kbs" TargetMode="External"/><Relationship Id="rId33" Type="http://schemas.openxmlformats.org/officeDocument/2006/relationships/hyperlink" Target="https://cdq.sigdoc.org/" TargetMode="External"/><Relationship Id="rId38" Type="http://schemas.openxmlformats.org/officeDocument/2006/relationships/hyperlink" Target="https://www.jstor.org/journal/jac" TargetMode="External"/><Relationship Id="rId46" Type="http://schemas.openxmlformats.org/officeDocument/2006/relationships/hyperlink" Target="https://read.dukeupress.edu/pedagogy" TargetMode="External"/><Relationship Id="rId59" Type="http://schemas.openxmlformats.org/officeDocument/2006/relationships/hyperlink" Target="http://journals.sagepub.com/loi/wcx" TargetMode="External"/><Relationship Id="rId67" Type="http://schemas.openxmlformats.org/officeDocument/2006/relationships/hyperlink" Target="https://cptsc.org/" TargetMode="External"/><Relationship Id="rId20" Type="http://schemas.openxmlformats.org/officeDocument/2006/relationships/hyperlink" Target="https://medicalrhetoric.com/" TargetMode="External"/><Relationship Id="rId41" Type="http://schemas.openxmlformats.org/officeDocument/2006/relationships/hyperlink" Target="https://wacclearinghouse.org/jwa/" TargetMode="External"/><Relationship Id="rId54" Type="http://schemas.openxmlformats.org/officeDocument/2006/relationships/hyperlink" Target="http://www.tandfonline.com/loi/rrsq20" TargetMode="External"/><Relationship Id="rId62" Type="http://schemas.openxmlformats.org/officeDocument/2006/relationships/hyperlink" Target="https://www.wpacouncil.org/aws/CWPA/pt/sp/conference_home_page" TargetMode="External"/><Relationship Id="rId70" Type="http://schemas.openxmlformats.org/officeDocument/2006/relationships/hyperlink" Target="https://wacassociation.org/iwac-conference/" TargetMode="External"/><Relationship Id="rId75" Type="http://schemas.openxmlformats.org/officeDocument/2006/relationships/hyperlink" Target="https://events.louisville.edu/conferences/watson-conference-rhetoric-and-composition" TargetMode="External"/><Relationship Id="rId83" Type="http://schemas.openxmlformats.org/officeDocument/2006/relationships/hyperlink" Target="https://www.upcolorado.com/current-arguments-in-composition" TargetMode="External"/><Relationship Id="rId88" Type="http://schemas.openxmlformats.org/officeDocument/2006/relationships/hyperlink" Target="https://ohiostatepress.org/books/series/IntersectionalRhetorics.html" TargetMode="External"/><Relationship Id="rId91" Type="http://schemas.openxmlformats.org/officeDocument/2006/relationships/hyperlink" Target="https://wacassociation.org/resource/wac-listserv/" TargetMode="External"/><Relationship Id="rId1" Type="http://schemas.openxmlformats.org/officeDocument/2006/relationships/hyperlink" Target="https://www.businesscommunication.org/home" TargetMode="External"/><Relationship Id="rId6" Type="http://schemas.openxmlformats.org/officeDocument/2006/relationships/hyperlink" Target="https://cfshrc.org/" TargetMode="External"/><Relationship Id="rId15" Type="http://schemas.openxmlformats.org/officeDocument/2006/relationships/hyperlink" Target="https://www.isawr.org/" TargetMode="External"/><Relationship Id="rId23" Type="http://schemas.openxmlformats.org/officeDocument/2006/relationships/hyperlink" Target="https://ncte.org/groups/tyca/tyca-about-us/" TargetMode="External"/><Relationship Id="rId28" Type="http://schemas.openxmlformats.org/officeDocument/2006/relationships/hyperlink" Target="https://wacclearinghouse.org/atd/" TargetMode="External"/><Relationship Id="rId36" Type="http://schemas.openxmlformats.org/officeDocument/2006/relationships/hyperlink" Target="https://enculturation.net/" TargetMode="External"/><Relationship Id="rId49" Type="http://schemas.openxmlformats.org/officeDocument/2006/relationships/hyperlink" Target="http://www.tandfonline.com/loi/rqjs20" TargetMode="External"/><Relationship Id="rId57" Type="http://schemas.openxmlformats.org/officeDocument/2006/relationships/hyperlink" Target="http://www.tandfonline.com/loi/htcq20" TargetMode="External"/><Relationship Id="rId10" Type="http://schemas.openxmlformats.org/officeDocument/2006/relationships/hyperlink" Target="https://cbwblog.wordpress.com/about/" TargetMode="External"/><Relationship Id="rId31" Type="http://schemas.openxmlformats.org/officeDocument/2006/relationships/hyperlink" Target="http://www.ncte.org/cccc/ccc/issues" TargetMode="External"/><Relationship Id="rId44" Type="http://schemas.openxmlformats.org/officeDocument/2006/relationships/hyperlink" Target="https://kbjournal.org/" TargetMode="External"/><Relationship Id="rId52" Type="http://schemas.openxmlformats.org/officeDocument/2006/relationships/hyperlink" Target="http://www.jstor.org/journal/rhetorica" TargetMode="External"/><Relationship Id="rId60" Type="http://schemas.openxmlformats.org/officeDocument/2006/relationships/hyperlink" Target="https://wpacouncil.org/aws/CWPA/pt/sp/journal" TargetMode="External"/><Relationship Id="rId65" Type="http://schemas.openxmlformats.org/officeDocument/2006/relationships/hyperlink" Target="https://cfshrc.org/" TargetMode="External"/><Relationship Id="rId73" Type="http://schemas.openxmlformats.org/officeDocument/2006/relationships/hyperlink" Target="https://procomm.ieee.org/conference/" TargetMode="External"/><Relationship Id="rId78" Type="http://schemas.openxmlformats.org/officeDocument/2006/relationships/hyperlink" Target="https://sc.edu/about/offices_and_divisions/national_resource_center/events/conferences/students_in_transition/proposals/index.php" TargetMode="External"/><Relationship Id="rId81" Type="http://schemas.openxmlformats.org/officeDocument/2006/relationships/hyperlink" Target="https://www.upcolorado.com/utah-state-university-press" TargetMode="External"/><Relationship Id="rId86" Type="http://schemas.openxmlformats.org/officeDocument/2006/relationships/hyperlink" Target="https://parlorpress.com/" TargetMode="External"/><Relationship Id="rId94" Type="http://schemas.openxmlformats.org/officeDocument/2006/relationships/hyperlink" Target="https://drive.google.com/file/d/17uhSVdN_P-kYRUw62jffWad0ZG_67lld/view?usp=sharing" TargetMode="External"/><Relationship Id="rId4" Type="http://schemas.openxmlformats.org/officeDocument/2006/relationships/hyperlink" Target="https://attw.org/" TargetMode="External"/><Relationship Id="rId9" Type="http://schemas.openxmlformats.org/officeDocument/2006/relationships/hyperlink" Target="https://www.wpacouncil.org/aws/CWPA/pt/sp/home_page" TargetMode="External"/><Relationship Id="rId13" Type="http://schemas.openxmlformats.org/officeDocument/2006/relationships/hyperlink" Target="https://www.eataw.eu/" TargetMode="External"/><Relationship Id="rId18" Type="http://schemas.openxmlformats.org/officeDocument/2006/relationships/hyperlink" Target="https://ajcunet.edu/networks/jesuit-rhetoric-composition-network/" TargetMode="External"/><Relationship Id="rId39" Type="http://schemas.openxmlformats.org/officeDocument/2006/relationships/hyperlink" Target="http://journals.sagepub.com/loi/jbt" TargetMode="External"/><Relationship Id="rId34" Type="http://schemas.openxmlformats.org/officeDocument/2006/relationships/hyperlink" Target="https://muse.jhu.edu/journal/539" TargetMode="External"/><Relationship Id="rId50" Type="http://schemas.openxmlformats.org/officeDocument/2006/relationships/hyperlink" Target="https://journals.psu.edu/reflections/index" TargetMode="External"/><Relationship Id="rId55" Type="http://schemas.openxmlformats.org/officeDocument/2006/relationships/hyperlink" Target="https://journals.upress.ufl.edu/rhm" TargetMode="External"/><Relationship Id="rId76" Type="http://schemas.openxmlformats.org/officeDocument/2006/relationships/hyperlink" Target="https://sigdoc.acm.org/conference/2026/" TargetMode="External"/><Relationship Id="rId7" Type="http://schemas.openxmlformats.org/officeDocument/2006/relationships/hyperlink" Target="https://communityliteraciescollaboratory.com/" TargetMode="External"/><Relationship Id="rId71" Type="http://schemas.openxmlformats.org/officeDocument/2006/relationships/hyperlink" Target="https://writinganalytics.wacclearinghouse.org/" TargetMode="External"/><Relationship Id="rId92" Type="http://schemas.openxmlformats.org/officeDocument/2006/relationships/hyperlink" Target="https://wacclearinghouse.org/repository/professional/lists/" TargetMode="External"/><Relationship Id="rId2" Type="http://schemas.openxmlformats.org/officeDocument/2006/relationships/hyperlink" Target="https://sigdoc.acm.org/" TargetMode="External"/><Relationship Id="rId29" Type="http://schemas.openxmlformats.org/officeDocument/2006/relationships/hyperlink" Target="https://shop.elsevier.com/journals/assessing-writing/1075-2935" TargetMode="External"/><Relationship Id="rId24" Type="http://schemas.openxmlformats.org/officeDocument/2006/relationships/hyperlink" Target="https://www.estudiosdelaescritura.org/home-english.html" TargetMode="External"/><Relationship Id="rId40" Type="http://schemas.openxmlformats.org/officeDocument/2006/relationships/hyperlink" Target="https://www.sciencedirect.com/journal/journal-of-second-language-writing" TargetMode="External"/><Relationship Id="rId45" Type="http://schemas.openxmlformats.org/officeDocument/2006/relationships/hyperlink" Target="https://licsjournal.org/index.php/LiCS" TargetMode="External"/><Relationship Id="rId66" Type="http://schemas.openxmlformats.org/officeDocument/2006/relationships/hyperlink" Target="https://attw.org/" TargetMode="External"/><Relationship Id="rId87" Type="http://schemas.openxmlformats.org/officeDocument/2006/relationships/hyperlink" Target="https://rhetoricsociety.org/psup-books/" TargetMode="External"/><Relationship Id="rId61" Type="http://schemas.openxmlformats.org/officeDocument/2006/relationships/hyperlink" Target="https://feministpress.org/pages/about-wsq" TargetMode="External"/><Relationship Id="rId82" Type="http://schemas.openxmlformats.org/officeDocument/2006/relationships/hyperlink" Target="https://ccdigitalpress.org/" TargetMode="External"/><Relationship Id="rId19" Type="http://schemas.openxmlformats.org/officeDocument/2006/relationships/hyperlink" Target="https://rhetoricsociety.org/" TargetMode="External"/><Relationship Id="rId14" Type="http://schemas.openxmlformats.org/officeDocument/2006/relationships/hyperlink" Target="https://gsole.org/" TargetMode="External"/><Relationship Id="rId30" Type="http://schemas.openxmlformats.org/officeDocument/2006/relationships/hyperlink" Target="http://www.sciencedirect.com/science/journal/87554615" TargetMode="External"/><Relationship Id="rId35" Type="http://schemas.openxmlformats.org/officeDocument/2006/relationships/hyperlink" Target="https://compositionforum.com/" TargetMode="External"/><Relationship Id="rId56" Type="http://schemas.openxmlformats.org/officeDocument/2006/relationships/hyperlink" Target="http://www.ingentaconnect.com/content/stc/tc" TargetMode="External"/><Relationship Id="rId77" Type="http://schemas.openxmlformats.org/officeDocument/2006/relationships/hyperlink" Target="https://dornsife.usc.edu/the-writing-program/2027-national-advanced-writing-symposiu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I38"/>
  <sheetViews>
    <sheetView showGridLines="0" tabSelected="1" zoomScaleNormal="100" workbookViewId="0">
      <selection activeCell="A7" sqref="A7:D7"/>
    </sheetView>
  </sheetViews>
  <sheetFormatPr baseColWidth="10" defaultColWidth="8.6640625" defaultRowHeight="15" x14ac:dyDescent="0.2"/>
  <cols>
    <col min="1" max="1" width="38.1640625" customWidth="1"/>
    <col min="2" max="2" width="99.6640625" customWidth="1"/>
    <col min="3" max="3" width="20" customWidth="1"/>
    <col min="4" max="4" width="45.5" customWidth="1"/>
  </cols>
  <sheetData>
    <row r="1" spans="1:7" ht="33.75" customHeight="1" x14ac:dyDescent="0.2">
      <c r="A1" s="29" t="s">
        <v>0</v>
      </c>
      <c r="B1" s="29"/>
      <c r="C1" s="29"/>
      <c r="D1" s="29"/>
    </row>
    <row r="2" spans="1:7" s="4" customFormat="1" ht="70" customHeight="1" x14ac:dyDescent="0.25">
      <c r="A2" s="129" t="s">
        <v>671</v>
      </c>
      <c r="B2" s="129"/>
      <c r="C2" s="129"/>
      <c r="D2" s="129"/>
    </row>
    <row r="3" spans="1:7" x14ac:dyDescent="0.2">
      <c r="G3" s="131"/>
    </row>
    <row r="4" spans="1:7" ht="16" thickBot="1" x14ac:dyDescent="0.25">
      <c r="G4" s="131"/>
    </row>
    <row r="5" spans="1:7" ht="18" customHeight="1" x14ac:dyDescent="0.2">
      <c r="A5" s="47" t="s">
        <v>1</v>
      </c>
      <c r="B5" s="48"/>
      <c r="C5" s="48"/>
      <c r="D5" s="49"/>
      <c r="G5" s="131"/>
    </row>
    <row r="6" spans="1:7" ht="19" customHeight="1" x14ac:dyDescent="0.2">
      <c r="A6" s="50"/>
      <c r="B6" s="51"/>
      <c r="C6" s="51"/>
      <c r="D6" s="52"/>
      <c r="G6" s="131"/>
    </row>
    <row r="7" spans="1:7" ht="42" customHeight="1" x14ac:dyDescent="0.2">
      <c r="A7" s="93" t="s">
        <v>2</v>
      </c>
      <c r="B7" s="94"/>
      <c r="C7" s="94"/>
      <c r="D7" s="95"/>
      <c r="G7" s="131"/>
    </row>
    <row r="8" spans="1:7" ht="54" customHeight="1" x14ac:dyDescent="0.2">
      <c r="A8" s="30" t="s">
        <v>3</v>
      </c>
      <c r="B8" s="31"/>
      <c r="C8" s="31"/>
      <c r="D8" s="32"/>
      <c r="G8" s="131"/>
    </row>
    <row r="9" spans="1:7" ht="54" customHeight="1" x14ac:dyDescent="0.2">
      <c r="A9" s="93" t="s">
        <v>4</v>
      </c>
      <c r="B9" s="94"/>
      <c r="C9" s="94"/>
      <c r="D9" s="95"/>
      <c r="G9" s="131"/>
    </row>
    <row r="10" spans="1:7" ht="42" customHeight="1" x14ac:dyDescent="0.2">
      <c r="A10" s="30" t="s">
        <v>5</v>
      </c>
      <c r="B10" s="31"/>
      <c r="C10" s="31"/>
      <c r="D10" s="32"/>
      <c r="G10" s="131"/>
    </row>
    <row r="11" spans="1:7" ht="42" customHeight="1" x14ac:dyDescent="0.2">
      <c r="A11" s="93" t="s">
        <v>6</v>
      </c>
      <c r="B11" s="94"/>
      <c r="C11" s="94"/>
      <c r="D11" s="95"/>
      <c r="G11" s="131"/>
    </row>
    <row r="12" spans="1:7" ht="54" customHeight="1" x14ac:dyDescent="0.2">
      <c r="A12" s="30" t="s">
        <v>679</v>
      </c>
      <c r="B12" s="31"/>
      <c r="C12" s="31"/>
      <c r="D12" s="32"/>
      <c r="G12" s="131"/>
    </row>
    <row r="13" spans="1:7" ht="20" thickBot="1" x14ac:dyDescent="0.3">
      <c r="A13" s="33"/>
      <c r="B13" s="34"/>
      <c r="C13" s="34"/>
      <c r="D13" s="35"/>
      <c r="G13" s="131"/>
    </row>
    <row r="14" spans="1:7" ht="19" x14ac:dyDescent="0.25">
      <c r="A14" s="36"/>
      <c r="B14" s="37"/>
      <c r="C14" s="37"/>
      <c r="D14" s="37"/>
      <c r="G14" s="131"/>
    </row>
    <row r="15" spans="1:7" ht="20" thickBot="1" x14ac:dyDescent="0.3">
      <c r="A15" s="36"/>
      <c r="B15" s="37"/>
      <c r="C15" s="37"/>
      <c r="D15" s="37"/>
    </row>
    <row r="16" spans="1:7" ht="25" thickBot="1" x14ac:dyDescent="0.35">
      <c r="A16" s="40" t="s">
        <v>7</v>
      </c>
      <c r="B16" s="41"/>
    </row>
    <row r="17" spans="1:9" ht="32" customHeight="1" x14ac:dyDescent="0.2">
      <c r="A17" s="38" t="s">
        <v>8</v>
      </c>
      <c r="B17" s="39"/>
    </row>
    <row r="18" spans="1:9" ht="30" customHeight="1" x14ac:dyDescent="0.2">
      <c r="A18" s="11" t="s">
        <v>9</v>
      </c>
      <c r="B18" s="12"/>
    </row>
    <row r="19" spans="1:9" ht="24" customHeight="1" x14ac:dyDescent="0.2">
      <c r="A19" s="13" t="s">
        <v>10</v>
      </c>
      <c r="B19" s="14"/>
    </row>
    <row r="20" spans="1:9" ht="19.5" customHeight="1" thickBot="1" x14ac:dyDescent="0.25">
      <c r="A20" s="15" t="s">
        <v>11</v>
      </c>
      <c r="B20" s="16"/>
    </row>
    <row r="21" spans="1:9" x14ac:dyDescent="0.2">
      <c r="I21" s="46"/>
    </row>
    <row r="22" spans="1:9" ht="22" thickBot="1" x14ac:dyDescent="0.3">
      <c r="A22" s="8"/>
      <c r="B22" s="9"/>
      <c r="C22" s="9"/>
      <c r="D22" s="9"/>
    </row>
    <row r="23" spans="1:9" ht="22" thickBot="1" x14ac:dyDescent="0.3">
      <c r="A23" s="27" t="s">
        <v>12</v>
      </c>
      <c r="B23" s="9"/>
      <c r="C23" s="9"/>
      <c r="D23" s="9"/>
    </row>
    <row r="24" spans="1:9" ht="67.5" customHeight="1" thickBot="1" x14ac:dyDescent="0.25">
      <c r="A24" s="19" t="s">
        <v>13</v>
      </c>
      <c r="B24" s="17"/>
      <c r="C24" s="17"/>
      <c r="D24" s="18"/>
    </row>
    <row r="26" spans="1:9" ht="21" x14ac:dyDescent="0.2">
      <c r="A26" s="45" t="s">
        <v>14</v>
      </c>
    </row>
    <row r="27" spans="1:9" ht="31.5" customHeight="1" x14ac:dyDescent="0.2">
      <c r="A27" s="44" t="s">
        <v>15</v>
      </c>
      <c r="B27" s="43" t="s">
        <v>16</v>
      </c>
    </row>
    <row r="28" spans="1:9" ht="28" customHeight="1" x14ac:dyDescent="0.2">
      <c r="A28" s="23" t="s">
        <v>17</v>
      </c>
      <c r="B28" s="24" t="s">
        <v>18</v>
      </c>
    </row>
    <row r="29" spans="1:9" ht="41" customHeight="1" x14ac:dyDescent="0.2">
      <c r="A29" s="25" t="s">
        <v>24</v>
      </c>
      <c r="B29" s="26" t="s">
        <v>25</v>
      </c>
    </row>
    <row r="30" spans="1:9" ht="54" customHeight="1" x14ac:dyDescent="0.2">
      <c r="A30" s="25" t="s">
        <v>22</v>
      </c>
      <c r="B30" s="26" t="s">
        <v>23</v>
      </c>
    </row>
    <row r="31" spans="1:9" ht="63" x14ac:dyDescent="0.2">
      <c r="A31" s="25" t="s">
        <v>19</v>
      </c>
      <c r="B31" s="26" t="s">
        <v>672</v>
      </c>
    </row>
    <row r="32" spans="1:9" ht="57" customHeight="1" x14ac:dyDescent="0.2">
      <c r="A32" s="23" t="s">
        <v>20</v>
      </c>
      <c r="B32" s="24" t="s">
        <v>21</v>
      </c>
    </row>
    <row r="33" spans="1:2" ht="52" customHeight="1" x14ac:dyDescent="0.2">
      <c r="A33" s="23" t="s">
        <v>26</v>
      </c>
      <c r="B33" s="24" t="s">
        <v>27</v>
      </c>
    </row>
    <row r="34" spans="1:2" ht="30" customHeight="1" x14ac:dyDescent="0.2">
      <c r="A34" s="25" t="s">
        <v>28</v>
      </c>
      <c r="B34" s="26" t="s">
        <v>29</v>
      </c>
    </row>
    <row r="35" spans="1:2" ht="51" customHeight="1" x14ac:dyDescent="0.2">
      <c r="A35" s="23" t="s">
        <v>30</v>
      </c>
      <c r="B35" s="24" t="s">
        <v>31</v>
      </c>
    </row>
    <row r="36" spans="1:2" ht="74" customHeight="1" x14ac:dyDescent="0.2">
      <c r="A36" s="25" t="s">
        <v>32</v>
      </c>
      <c r="B36" s="26" t="s">
        <v>33</v>
      </c>
    </row>
    <row r="37" spans="1:2" ht="34" customHeight="1" x14ac:dyDescent="0.2">
      <c r="A37" s="23" t="s">
        <v>34</v>
      </c>
      <c r="B37" s="24" t="s">
        <v>35</v>
      </c>
    </row>
    <row r="38" spans="1:2" ht="42" x14ac:dyDescent="0.2">
      <c r="A38" s="25" t="s">
        <v>36</v>
      </c>
      <c r="B38" s="26" t="s">
        <v>37</v>
      </c>
    </row>
  </sheetData>
  <mergeCells count="15">
    <mergeCell ref="A1:D1"/>
    <mergeCell ref="A2:D2"/>
    <mergeCell ref="A7:D7"/>
    <mergeCell ref="A8:D8"/>
    <mergeCell ref="A9:D9"/>
    <mergeCell ref="A5:D6"/>
    <mergeCell ref="A19:B19"/>
    <mergeCell ref="A20:B20"/>
    <mergeCell ref="A24:D24"/>
    <mergeCell ref="A10:D10"/>
    <mergeCell ref="A11:D11"/>
    <mergeCell ref="A12:D12"/>
    <mergeCell ref="A17:B17"/>
    <mergeCell ref="A18:B18"/>
    <mergeCell ref="A13:D13"/>
  </mergeCells>
  <pageMargins left="0.4" right="0.4" top="0.5" bottom="0.5"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pageSetUpPr fitToPage="1"/>
  </sheetPr>
  <dimension ref="A1:B20"/>
  <sheetViews>
    <sheetView showGridLines="0" zoomScaleNormal="100" workbookViewId="0">
      <pane ySplit="4" topLeftCell="A5" activePane="bottomLeft" state="frozen"/>
      <selection pane="bottomLeft" activeCell="B9" sqref="B9"/>
    </sheetView>
  </sheetViews>
  <sheetFormatPr baseColWidth="10" defaultColWidth="8.6640625" defaultRowHeight="21" x14ac:dyDescent="0.25"/>
  <cols>
    <col min="1" max="1" width="26" style="71" customWidth="1"/>
    <col min="2" max="2" width="95" style="9" customWidth="1"/>
    <col min="3" max="16384" width="8.6640625" style="9"/>
  </cols>
  <sheetData>
    <row r="1" spans="1:2" x14ac:dyDescent="0.25">
      <c r="A1" s="53" t="s">
        <v>498</v>
      </c>
      <c r="B1" s="53"/>
    </row>
    <row r="3" spans="1:2" x14ac:dyDescent="0.25">
      <c r="A3" s="20" t="s">
        <v>499</v>
      </c>
      <c r="B3" s="20" t="s">
        <v>500</v>
      </c>
    </row>
    <row r="4" spans="1:2" x14ac:dyDescent="0.25">
      <c r="A4" s="72" t="s">
        <v>501</v>
      </c>
      <c r="B4" s="21" t="s">
        <v>502</v>
      </c>
    </row>
    <row r="5" spans="1:2" x14ac:dyDescent="0.25">
      <c r="A5" s="73" t="s">
        <v>503</v>
      </c>
      <c r="B5" s="22" t="s">
        <v>504</v>
      </c>
    </row>
    <row r="6" spans="1:2" x14ac:dyDescent="0.25">
      <c r="A6" s="72" t="s">
        <v>505</v>
      </c>
      <c r="B6" s="21" t="s">
        <v>506</v>
      </c>
    </row>
    <row r="7" spans="1:2" x14ac:dyDescent="0.25">
      <c r="A7" s="73" t="s">
        <v>507</v>
      </c>
      <c r="B7" s="22" t="s">
        <v>508</v>
      </c>
    </row>
    <row r="8" spans="1:2" ht="42" x14ac:dyDescent="0.25">
      <c r="A8" s="72" t="s">
        <v>509</v>
      </c>
      <c r="B8" s="21" t="s">
        <v>675</v>
      </c>
    </row>
    <row r="9" spans="1:2" x14ac:dyDescent="0.25">
      <c r="A9" s="73" t="s">
        <v>510</v>
      </c>
      <c r="B9" s="22" t="s">
        <v>511</v>
      </c>
    </row>
    <row r="10" spans="1:2" x14ac:dyDescent="0.25">
      <c r="A10" s="72" t="s">
        <v>512</v>
      </c>
      <c r="B10" s="21" t="s">
        <v>513</v>
      </c>
    </row>
    <row r="11" spans="1:2" x14ac:dyDescent="0.25">
      <c r="A11" s="73" t="s">
        <v>514</v>
      </c>
      <c r="B11" s="22" t="s">
        <v>515</v>
      </c>
    </row>
    <row r="12" spans="1:2" x14ac:dyDescent="0.25">
      <c r="A12" s="72" t="s">
        <v>516</v>
      </c>
      <c r="B12" s="21" t="s">
        <v>517</v>
      </c>
    </row>
    <row r="13" spans="1:2" ht="42" x14ac:dyDescent="0.25">
      <c r="A13" s="73" t="s">
        <v>518</v>
      </c>
      <c r="B13" s="22" t="s">
        <v>519</v>
      </c>
    </row>
    <row r="14" spans="1:2" ht="42" x14ac:dyDescent="0.25">
      <c r="A14" s="72" t="s">
        <v>72</v>
      </c>
      <c r="B14" s="21" t="s">
        <v>520</v>
      </c>
    </row>
    <row r="15" spans="1:2" ht="42" x14ac:dyDescent="0.25">
      <c r="A15" s="73" t="s">
        <v>186</v>
      </c>
      <c r="B15" s="22" t="s">
        <v>521</v>
      </c>
    </row>
    <row r="16" spans="1:2" ht="42" x14ac:dyDescent="0.25">
      <c r="A16" s="72" t="s">
        <v>71</v>
      </c>
      <c r="B16" s="21" t="s">
        <v>522</v>
      </c>
    </row>
    <row r="17" spans="1:2" ht="42" x14ac:dyDescent="0.25">
      <c r="A17" s="73" t="s">
        <v>523</v>
      </c>
      <c r="B17" s="22" t="s">
        <v>524</v>
      </c>
    </row>
    <row r="18" spans="1:2" ht="84" x14ac:dyDescent="0.25">
      <c r="A18" s="72" t="s">
        <v>525</v>
      </c>
      <c r="B18" s="21" t="s">
        <v>526</v>
      </c>
    </row>
    <row r="19" spans="1:2" ht="84" x14ac:dyDescent="0.25">
      <c r="A19" s="73" t="s">
        <v>527</v>
      </c>
      <c r="B19" s="22" t="s">
        <v>528</v>
      </c>
    </row>
    <row r="20" spans="1:2" ht="105" x14ac:dyDescent="0.25">
      <c r="A20" s="72" t="s">
        <v>529</v>
      </c>
      <c r="B20" s="21" t="s">
        <v>530</v>
      </c>
    </row>
  </sheetData>
  <mergeCells count="1">
    <mergeCell ref="A1:B1"/>
  </mergeCells>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pageSetUpPr fitToPage="1"/>
  </sheetPr>
  <dimension ref="A1:C155"/>
  <sheetViews>
    <sheetView showGridLines="0" zoomScaleNormal="100" workbookViewId="0">
      <selection activeCell="A5" sqref="A5:C5"/>
    </sheetView>
  </sheetViews>
  <sheetFormatPr baseColWidth="10" defaultColWidth="8.6640625" defaultRowHeight="19" x14ac:dyDescent="0.25"/>
  <cols>
    <col min="1" max="1" width="40" style="84" customWidth="1"/>
    <col min="2" max="2" width="55" style="4" customWidth="1"/>
    <col min="3" max="3" width="45" style="4" customWidth="1"/>
    <col min="4" max="16384" width="8.6640625" style="4"/>
  </cols>
  <sheetData>
    <row r="1" spans="1:3" ht="20" x14ac:dyDescent="0.25">
      <c r="A1" s="82" t="s">
        <v>224</v>
      </c>
      <c r="B1" s="82"/>
      <c r="C1" s="82"/>
    </row>
    <row r="2" spans="1:3" ht="135" customHeight="1" x14ac:dyDescent="0.25">
      <c r="A2" s="83" t="s">
        <v>678</v>
      </c>
      <c r="B2" s="83"/>
      <c r="C2" s="83"/>
    </row>
    <row r="4" spans="1:3" x14ac:dyDescent="0.25">
      <c r="A4" s="76" t="s">
        <v>225</v>
      </c>
      <c r="B4" s="76"/>
      <c r="C4" s="76"/>
    </row>
    <row r="5" spans="1:3" ht="33" customHeight="1" x14ac:dyDescent="0.25">
      <c r="A5" s="77" t="s">
        <v>676</v>
      </c>
      <c r="B5" s="77"/>
      <c r="C5" s="77"/>
    </row>
    <row r="6" spans="1:3" x14ac:dyDescent="0.25">
      <c r="A6" s="5" t="s">
        <v>226</v>
      </c>
      <c r="B6" s="5" t="s">
        <v>227</v>
      </c>
      <c r="C6" s="5" t="s">
        <v>228</v>
      </c>
    </row>
    <row r="7" spans="1:3" ht="38" x14ac:dyDescent="0.25">
      <c r="A7" s="85" t="s">
        <v>229</v>
      </c>
      <c r="B7" s="7"/>
      <c r="C7" s="78" t="s">
        <v>230</v>
      </c>
    </row>
    <row r="8" spans="1:3" ht="76" x14ac:dyDescent="0.25">
      <c r="A8" s="86" t="s">
        <v>231</v>
      </c>
      <c r="B8" s="6"/>
      <c r="C8" s="79" t="s">
        <v>232</v>
      </c>
    </row>
    <row r="9" spans="1:3" ht="38" x14ac:dyDescent="0.25">
      <c r="A9" s="85" t="s">
        <v>233</v>
      </c>
      <c r="B9" s="7" t="s">
        <v>234</v>
      </c>
      <c r="C9" s="78" t="s">
        <v>235</v>
      </c>
    </row>
    <row r="10" spans="1:3" ht="38" x14ac:dyDescent="0.25">
      <c r="A10" s="86" t="s">
        <v>236</v>
      </c>
      <c r="B10" s="6"/>
      <c r="C10" s="79" t="s">
        <v>237</v>
      </c>
    </row>
    <row r="11" spans="1:3" ht="57" x14ac:dyDescent="0.25">
      <c r="A11" s="85" t="s">
        <v>238</v>
      </c>
      <c r="B11" s="7" t="s">
        <v>239</v>
      </c>
      <c r="C11" s="78" t="s">
        <v>240</v>
      </c>
    </row>
    <row r="12" spans="1:3" ht="57" x14ac:dyDescent="0.25">
      <c r="A12" s="86" t="s">
        <v>241</v>
      </c>
      <c r="B12" s="6" t="s">
        <v>242</v>
      </c>
      <c r="C12" s="79" t="s">
        <v>243</v>
      </c>
    </row>
    <row r="13" spans="1:3" ht="38" x14ac:dyDescent="0.25">
      <c r="A13" s="85" t="s">
        <v>244</v>
      </c>
      <c r="B13" s="7"/>
      <c r="C13" s="78" t="s">
        <v>245</v>
      </c>
    </row>
    <row r="14" spans="1:3" ht="38" x14ac:dyDescent="0.25">
      <c r="A14" s="86" t="s">
        <v>246</v>
      </c>
      <c r="B14" s="6"/>
      <c r="C14" s="79" t="s">
        <v>247</v>
      </c>
    </row>
    <row r="15" spans="1:3" ht="38" x14ac:dyDescent="0.25">
      <c r="A15" s="85" t="s">
        <v>248</v>
      </c>
      <c r="B15" s="7"/>
      <c r="C15" s="78" t="s">
        <v>249</v>
      </c>
    </row>
    <row r="16" spans="1:3" x14ac:dyDescent="0.25">
      <c r="A16" s="86" t="s">
        <v>250</v>
      </c>
      <c r="B16" s="6" t="s">
        <v>251</v>
      </c>
      <c r="C16" s="79" t="s">
        <v>252</v>
      </c>
    </row>
    <row r="17" spans="1:3" ht="57" x14ac:dyDescent="0.25">
      <c r="A17" s="85" t="s">
        <v>253</v>
      </c>
      <c r="B17" s="7"/>
      <c r="C17" s="78" t="s">
        <v>254</v>
      </c>
    </row>
    <row r="18" spans="1:3" ht="38" x14ac:dyDescent="0.25">
      <c r="A18" s="86" t="s">
        <v>255</v>
      </c>
      <c r="B18" s="6"/>
      <c r="C18" s="79" t="s">
        <v>256</v>
      </c>
    </row>
    <row r="19" spans="1:3" ht="57" x14ac:dyDescent="0.25">
      <c r="A19" s="85" t="s">
        <v>257</v>
      </c>
      <c r="B19" s="7" t="s">
        <v>258</v>
      </c>
      <c r="C19" s="78" t="s">
        <v>259</v>
      </c>
    </row>
    <row r="20" spans="1:3" ht="38" x14ac:dyDescent="0.25">
      <c r="A20" s="86" t="s">
        <v>260</v>
      </c>
      <c r="B20" s="6"/>
      <c r="C20" s="79" t="s">
        <v>261</v>
      </c>
    </row>
    <row r="21" spans="1:3" ht="57" x14ac:dyDescent="0.25">
      <c r="A21" s="85" t="s">
        <v>262</v>
      </c>
      <c r="B21" s="7" t="s">
        <v>263</v>
      </c>
      <c r="C21" s="78" t="s">
        <v>264</v>
      </c>
    </row>
    <row r="22" spans="1:3" ht="38" x14ac:dyDescent="0.25">
      <c r="A22" s="86" t="s">
        <v>265</v>
      </c>
      <c r="B22" s="6"/>
      <c r="C22" s="79" t="s">
        <v>266</v>
      </c>
    </row>
    <row r="23" spans="1:3" ht="38" x14ac:dyDescent="0.25">
      <c r="A23" s="85" t="s">
        <v>267</v>
      </c>
      <c r="B23" s="7" t="s">
        <v>268</v>
      </c>
      <c r="C23" s="78" t="s">
        <v>269</v>
      </c>
    </row>
    <row r="24" spans="1:3" ht="38" x14ac:dyDescent="0.25">
      <c r="A24" s="86" t="s">
        <v>270</v>
      </c>
      <c r="B24" s="6" t="s">
        <v>271</v>
      </c>
      <c r="C24" s="79" t="s">
        <v>272</v>
      </c>
    </row>
    <row r="25" spans="1:3" ht="38" x14ac:dyDescent="0.25">
      <c r="A25" s="85" t="s">
        <v>273</v>
      </c>
      <c r="B25" s="7"/>
      <c r="C25" s="78" t="s">
        <v>274</v>
      </c>
    </row>
    <row r="26" spans="1:3" ht="38" x14ac:dyDescent="0.25">
      <c r="A26" s="86" t="s">
        <v>275</v>
      </c>
      <c r="B26" s="6" t="s">
        <v>276</v>
      </c>
      <c r="C26" s="79" t="s">
        <v>277</v>
      </c>
    </row>
    <row r="27" spans="1:3" ht="57" x14ac:dyDescent="0.25">
      <c r="A27" s="85" t="s">
        <v>278</v>
      </c>
      <c r="B27" s="7"/>
      <c r="C27" s="78" t="s">
        <v>279</v>
      </c>
    </row>
    <row r="28" spans="1:3" ht="38" x14ac:dyDescent="0.25">
      <c r="A28" s="86" t="s">
        <v>280</v>
      </c>
      <c r="B28" s="6" t="s">
        <v>281</v>
      </c>
      <c r="C28" s="79" t="s">
        <v>282</v>
      </c>
    </row>
    <row r="29" spans="1:3" ht="38" x14ac:dyDescent="0.25">
      <c r="A29" s="85" t="s">
        <v>283</v>
      </c>
      <c r="B29" s="7" t="s">
        <v>284</v>
      </c>
      <c r="C29" s="78" t="s">
        <v>285</v>
      </c>
    </row>
    <row r="30" spans="1:3" x14ac:dyDescent="0.25">
      <c r="A30" s="86" t="s">
        <v>286</v>
      </c>
      <c r="B30" s="6"/>
      <c r="C30" s="80" t="s">
        <v>287</v>
      </c>
    </row>
    <row r="31" spans="1:3" ht="38" x14ac:dyDescent="0.25">
      <c r="A31" s="85" t="s">
        <v>288</v>
      </c>
      <c r="B31" s="7"/>
      <c r="C31" s="78" t="s">
        <v>289</v>
      </c>
    </row>
    <row r="32" spans="1:3" x14ac:dyDescent="0.25">
      <c r="A32" s="86" t="s">
        <v>290</v>
      </c>
      <c r="B32" s="6"/>
      <c r="C32" s="79" t="s">
        <v>291</v>
      </c>
    </row>
    <row r="33" spans="1:3" ht="38" x14ac:dyDescent="0.25">
      <c r="A33" s="85" t="s">
        <v>292</v>
      </c>
      <c r="B33" s="7"/>
      <c r="C33" s="78" t="s">
        <v>293</v>
      </c>
    </row>
    <row r="34" spans="1:3" ht="38" x14ac:dyDescent="0.25">
      <c r="A34" s="86" t="s">
        <v>294</v>
      </c>
      <c r="B34" s="6"/>
      <c r="C34" s="79" t="s">
        <v>295</v>
      </c>
    </row>
    <row r="35" spans="1:3" ht="38" x14ac:dyDescent="0.25">
      <c r="A35" s="85" t="s">
        <v>296</v>
      </c>
      <c r="B35" s="7"/>
      <c r="C35" s="81" t="s">
        <v>287</v>
      </c>
    </row>
    <row r="36" spans="1:3" ht="57" x14ac:dyDescent="0.25">
      <c r="A36" s="86" t="s">
        <v>297</v>
      </c>
      <c r="B36" s="6"/>
      <c r="C36" s="80" t="s">
        <v>287</v>
      </c>
    </row>
    <row r="37" spans="1:3" ht="57" x14ac:dyDescent="0.25">
      <c r="A37" s="85" t="s">
        <v>298</v>
      </c>
      <c r="B37" s="7"/>
      <c r="C37" s="81" t="s">
        <v>287</v>
      </c>
    </row>
    <row r="38" spans="1:3" ht="38" x14ac:dyDescent="0.25">
      <c r="A38" s="86" t="s">
        <v>299</v>
      </c>
      <c r="B38" s="6"/>
      <c r="C38" s="80" t="s">
        <v>287</v>
      </c>
    </row>
    <row r="39" spans="1:3" ht="57" x14ac:dyDescent="0.25">
      <c r="A39" s="85" t="s">
        <v>300</v>
      </c>
      <c r="B39" s="7"/>
      <c r="C39" s="81" t="s">
        <v>287</v>
      </c>
    </row>
    <row r="40" spans="1:3" ht="76" x14ac:dyDescent="0.25">
      <c r="A40" s="85" t="s">
        <v>301</v>
      </c>
      <c r="B40" s="7"/>
      <c r="C40" s="81" t="s">
        <v>287</v>
      </c>
    </row>
    <row r="41" spans="1:3" ht="38" x14ac:dyDescent="0.25">
      <c r="A41" s="86" t="s">
        <v>302</v>
      </c>
      <c r="B41" s="6"/>
      <c r="C41" s="80" t="s">
        <v>287</v>
      </c>
    </row>
    <row r="42" spans="1:3" ht="38" x14ac:dyDescent="0.25">
      <c r="A42" s="85" t="s">
        <v>303</v>
      </c>
      <c r="B42" s="7"/>
      <c r="C42" s="81" t="s">
        <v>287</v>
      </c>
    </row>
    <row r="43" spans="1:3" ht="38" x14ac:dyDescent="0.25">
      <c r="A43" s="86" t="s">
        <v>304</v>
      </c>
      <c r="B43" s="6"/>
      <c r="C43" s="80" t="s">
        <v>287</v>
      </c>
    </row>
    <row r="44" spans="1:3" ht="38" x14ac:dyDescent="0.25">
      <c r="A44" s="85" t="s">
        <v>305</v>
      </c>
      <c r="B44" s="7"/>
      <c r="C44" s="81" t="s">
        <v>287</v>
      </c>
    </row>
    <row r="45" spans="1:3" ht="57" x14ac:dyDescent="0.25">
      <c r="A45" s="86" t="s">
        <v>306</v>
      </c>
      <c r="B45" s="6"/>
      <c r="C45" s="80" t="s">
        <v>287</v>
      </c>
    </row>
    <row r="46" spans="1:3" ht="38" x14ac:dyDescent="0.25">
      <c r="A46" s="85" t="s">
        <v>307</v>
      </c>
      <c r="B46" s="7"/>
      <c r="C46" s="81" t="s">
        <v>287</v>
      </c>
    </row>
    <row r="47" spans="1:3" ht="38" x14ac:dyDescent="0.25">
      <c r="A47" s="86" t="s">
        <v>308</v>
      </c>
      <c r="B47" s="6"/>
      <c r="C47" s="80" t="s">
        <v>287</v>
      </c>
    </row>
    <row r="48" spans="1:3" ht="38" x14ac:dyDescent="0.25">
      <c r="A48" s="85" t="s">
        <v>309</v>
      </c>
      <c r="B48" s="7"/>
      <c r="C48" s="81" t="s">
        <v>287</v>
      </c>
    </row>
    <row r="49" spans="1:3" ht="57" x14ac:dyDescent="0.25">
      <c r="A49" s="86" t="s">
        <v>310</v>
      </c>
      <c r="B49" s="6"/>
      <c r="C49" s="80" t="s">
        <v>287</v>
      </c>
    </row>
    <row r="50" spans="1:3" x14ac:dyDescent="0.25">
      <c r="A50" s="85" t="s">
        <v>311</v>
      </c>
      <c r="B50" s="7"/>
      <c r="C50" s="81" t="s">
        <v>287</v>
      </c>
    </row>
    <row r="51" spans="1:3" ht="38" x14ac:dyDescent="0.25">
      <c r="A51" s="86" t="s">
        <v>312</v>
      </c>
      <c r="B51" s="6"/>
      <c r="C51" s="80" t="s">
        <v>287</v>
      </c>
    </row>
    <row r="52" spans="1:3" ht="57" x14ac:dyDescent="0.25">
      <c r="A52" s="85" t="s">
        <v>313</v>
      </c>
      <c r="B52" s="7"/>
      <c r="C52" s="81" t="s">
        <v>287</v>
      </c>
    </row>
    <row r="53" spans="1:3" ht="38" x14ac:dyDescent="0.25">
      <c r="A53" s="86" t="s">
        <v>314</v>
      </c>
      <c r="B53" s="6"/>
      <c r="C53" s="80" t="s">
        <v>287</v>
      </c>
    </row>
    <row r="54" spans="1:3" ht="38" x14ac:dyDescent="0.25">
      <c r="A54" s="85" t="s">
        <v>315</v>
      </c>
      <c r="B54" s="7"/>
      <c r="C54" s="81" t="s">
        <v>287</v>
      </c>
    </row>
    <row r="56" spans="1:3" x14ac:dyDescent="0.25">
      <c r="A56" s="76" t="s">
        <v>316</v>
      </c>
      <c r="B56" s="76"/>
      <c r="C56" s="76"/>
    </row>
    <row r="57" spans="1:3" x14ac:dyDescent="0.25">
      <c r="A57" s="77" t="s">
        <v>677</v>
      </c>
      <c r="B57" s="77"/>
      <c r="C57" s="77"/>
    </row>
    <row r="58" spans="1:3" x14ac:dyDescent="0.25">
      <c r="A58" s="5" t="s">
        <v>226</v>
      </c>
      <c r="B58" s="5" t="s">
        <v>227</v>
      </c>
      <c r="C58" s="5" t="s">
        <v>228</v>
      </c>
    </row>
    <row r="59" spans="1:3" x14ac:dyDescent="0.25">
      <c r="A59" s="86" t="s">
        <v>317</v>
      </c>
      <c r="B59" s="6"/>
      <c r="C59" s="79" t="s">
        <v>318</v>
      </c>
    </row>
    <row r="60" spans="1:3" ht="38" x14ac:dyDescent="0.25">
      <c r="A60" s="85" t="s">
        <v>319</v>
      </c>
      <c r="B60" s="7"/>
      <c r="C60" s="78" t="s">
        <v>320</v>
      </c>
    </row>
    <row r="61" spans="1:3" ht="38" x14ac:dyDescent="0.25">
      <c r="A61" s="86" t="s">
        <v>321</v>
      </c>
      <c r="B61" s="6"/>
      <c r="C61" s="79" t="s">
        <v>322</v>
      </c>
    </row>
    <row r="62" spans="1:3" x14ac:dyDescent="0.25">
      <c r="A62" s="85" t="s">
        <v>323</v>
      </c>
      <c r="B62" s="7"/>
      <c r="C62" s="81" t="s">
        <v>287</v>
      </c>
    </row>
    <row r="63" spans="1:3" ht="38" x14ac:dyDescent="0.25">
      <c r="A63" s="86" t="s">
        <v>324</v>
      </c>
      <c r="B63" s="6"/>
      <c r="C63" s="79" t="s">
        <v>325</v>
      </c>
    </row>
    <row r="64" spans="1:3" x14ac:dyDescent="0.25">
      <c r="A64" s="85" t="s">
        <v>326</v>
      </c>
      <c r="B64" s="7"/>
      <c r="C64" s="78" t="s">
        <v>327</v>
      </c>
    </row>
    <row r="65" spans="1:3" x14ac:dyDescent="0.25">
      <c r="A65" s="86" t="s">
        <v>328</v>
      </c>
      <c r="B65" s="6"/>
      <c r="C65" s="79" t="s">
        <v>329</v>
      </c>
    </row>
    <row r="66" spans="1:3" x14ac:dyDescent="0.25">
      <c r="A66" s="85" t="s">
        <v>330</v>
      </c>
      <c r="B66" s="7"/>
      <c r="C66" s="78" t="s">
        <v>331</v>
      </c>
    </row>
    <row r="67" spans="1:3" x14ac:dyDescent="0.25">
      <c r="A67" s="86" t="s">
        <v>332</v>
      </c>
      <c r="B67" s="6"/>
      <c r="C67" s="79" t="s">
        <v>333</v>
      </c>
    </row>
    <row r="68" spans="1:3" x14ac:dyDescent="0.25">
      <c r="A68" s="85" t="s">
        <v>334</v>
      </c>
      <c r="B68" s="7"/>
      <c r="C68" s="81" t="s">
        <v>287</v>
      </c>
    </row>
    <row r="69" spans="1:3" x14ac:dyDescent="0.25">
      <c r="A69" s="86" t="s">
        <v>335</v>
      </c>
      <c r="B69" s="6"/>
      <c r="C69" s="79" t="s">
        <v>336</v>
      </c>
    </row>
    <row r="70" spans="1:3" ht="38" x14ac:dyDescent="0.25">
      <c r="A70" s="85" t="s">
        <v>337</v>
      </c>
      <c r="B70" s="7"/>
      <c r="C70" s="78" t="s">
        <v>338</v>
      </c>
    </row>
    <row r="71" spans="1:3" ht="38" x14ac:dyDescent="0.25">
      <c r="A71" s="86" t="s">
        <v>339</v>
      </c>
      <c r="B71" s="6"/>
      <c r="C71" s="79" t="s">
        <v>340</v>
      </c>
    </row>
    <row r="72" spans="1:3" x14ac:dyDescent="0.25">
      <c r="A72" s="85" t="s">
        <v>341</v>
      </c>
      <c r="B72" s="7"/>
      <c r="C72" s="81" t="s">
        <v>287</v>
      </c>
    </row>
    <row r="73" spans="1:3" x14ac:dyDescent="0.25">
      <c r="A73" s="86" t="s">
        <v>342</v>
      </c>
      <c r="B73" s="6"/>
      <c r="C73" s="80" t="s">
        <v>287</v>
      </c>
    </row>
    <row r="74" spans="1:3" ht="38" x14ac:dyDescent="0.25">
      <c r="A74" s="85" t="s">
        <v>343</v>
      </c>
      <c r="B74" s="7"/>
      <c r="C74" s="78" t="s">
        <v>344</v>
      </c>
    </row>
    <row r="75" spans="1:3" ht="38" x14ac:dyDescent="0.25">
      <c r="A75" s="86" t="s">
        <v>345</v>
      </c>
      <c r="B75" s="6"/>
      <c r="C75" s="80" t="s">
        <v>287</v>
      </c>
    </row>
    <row r="76" spans="1:3" ht="38" x14ac:dyDescent="0.25">
      <c r="A76" s="85" t="s">
        <v>346</v>
      </c>
      <c r="B76" s="7"/>
      <c r="C76" s="78" t="s">
        <v>347</v>
      </c>
    </row>
    <row r="77" spans="1:3" x14ac:dyDescent="0.25">
      <c r="A77" s="86" t="s">
        <v>348</v>
      </c>
      <c r="B77" s="6"/>
      <c r="C77" s="79" t="s">
        <v>349</v>
      </c>
    </row>
    <row r="78" spans="1:3" x14ac:dyDescent="0.25">
      <c r="A78" s="85" t="s">
        <v>350</v>
      </c>
      <c r="B78" s="7"/>
      <c r="C78" s="78" t="s">
        <v>351</v>
      </c>
    </row>
    <row r="79" spans="1:3" x14ac:dyDescent="0.25">
      <c r="A79" s="86" t="s">
        <v>352</v>
      </c>
      <c r="B79" s="6"/>
      <c r="C79" s="79" t="s">
        <v>353</v>
      </c>
    </row>
    <row r="80" spans="1:3" ht="38" x14ac:dyDescent="0.25">
      <c r="A80" s="85" t="s">
        <v>354</v>
      </c>
      <c r="B80" s="7"/>
      <c r="C80" s="78" t="s">
        <v>355</v>
      </c>
    </row>
    <row r="81" spans="1:3" x14ac:dyDescent="0.25">
      <c r="A81" s="86" t="s">
        <v>356</v>
      </c>
      <c r="B81" s="6"/>
      <c r="C81" s="79" t="s">
        <v>357</v>
      </c>
    </row>
    <row r="82" spans="1:3" ht="76" x14ac:dyDescent="0.25">
      <c r="A82" s="85" t="s">
        <v>358</v>
      </c>
      <c r="B82" s="7"/>
      <c r="C82" s="78" t="s">
        <v>359</v>
      </c>
    </row>
    <row r="83" spans="1:3" x14ac:dyDescent="0.25">
      <c r="A83" s="86" t="s">
        <v>360</v>
      </c>
      <c r="B83" s="6"/>
      <c r="C83" s="79" t="s">
        <v>361</v>
      </c>
    </row>
    <row r="84" spans="1:3" ht="38" x14ac:dyDescent="0.25">
      <c r="A84" s="85" t="s">
        <v>362</v>
      </c>
      <c r="B84" s="7"/>
      <c r="C84" s="78" t="s">
        <v>363</v>
      </c>
    </row>
    <row r="85" spans="1:3" x14ac:dyDescent="0.25">
      <c r="A85" s="86" t="s">
        <v>364</v>
      </c>
      <c r="B85" s="6"/>
      <c r="C85" s="79" t="s">
        <v>365</v>
      </c>
    </row>
    <row r="86" spans="1:3" ht="57" x14ac:dyDescent="0.25">
      <c r="A86" s="85" t="s">
        <v>366</v>
      </c>
      <c r="B86" s="7"/>
      <c r="C86" s="78" t="s">
        <v>367</v>
      </c>
    </row>
    <row r="87" spans="1:3" ht="38" x14ac:dyDescent="0.25">
      <c r="A87" s="86" t="s">
        <v>368</v>
      </c>
      <c r="B87" s="6"/>
      <c r="C87" s="79" t="s">
        <v>369</v>
      </c>
    </row>
    <row r="88" spans="1:3" x14ac:dyDescent="0.25">
      <c r="A88" s="85" t="s">
        <v>370</v>
      </c>
      <c r="B88" s="7"/>
      <c r="C88" s="78" t="s">
        <v>371</v>
      </c>
    </row>
    <row r="89" spans="1:3" x14ac:dyDescent="0.25">
      <c r="A89" s="86" t="s">
        <v>372</v>
      </c>
      <c r="B89" s="6"/>
      <c r="C89" s="79" t="s">
        <v>373</v>
      </c>
    </row>
    <row r="90" spans="1:3" x14ac:dyDescent="0.25">
      <c r="A90" s="85" t="s">
        <v>374</v>
      </c>
      <c r="B90" s="7"/>
      <c r="C90" s="78" t="s">
        <v>375</v>
      </c>
    </row>
    <row r="91" spans="1:3" ht="38" x14ac:dyDescent="0.25">
      <c r="A91" s="86" t="s">
        <v>376</v>
      </c>
      <c r="B91" s="6"/>
      <c r="C91" s="79" t="s">
        <v>377</v>
      </c>
    </row>
    <row r="92" spans="1:3" ht="38" x14ac:dyDescent="0.25">
      <c r="A92" s="85" t="s">
        <v>378</v>
      </c>
      <c r="B92" s="7"/>
      <c r="C92" s="81" t="s">
        <v>287</v>
      </c>
    </row>
    <row r="93" spans="1:3" ht="38" x14ac:dyDescent="0.25">
      <c r="A93" s="86" t="s">
        <v>379</v>
      </c>
      <c r="B93" s="6"/>
      <c r="C93" s="79" t="s">
        <v>380</v>
      </c>
    </row>
    <row r="94" spans="1:3" ht="38" x14ac:dyDescent="0.25">
      <c r="A94" s="85" t="s">
        <v>381</v>
      </c>
      <c r="B94" s="7"/>
      <c r="C94" s="78" t="s">
        <v>382</v>
      </c>
    </row>
    <row r="95" spans="1:3" x14ac:dyDescent="0.25">
      <c r="A95" s="86" t="s">
        <v>383</v>
      </c>
      <c r="B95" s="6"/>
      <c r="C95" s="79" t="s">
        <v>384</v>
      </c>
    </row>
    <row r="96" spans="1:3" x14ac:dyDescent="0.25">
      <c r="A96" s="85" t="s">
        <v>385</v>
      </c>
      <c r="B96" s="7"/>
      <c r="C96" s="81" t="s">
        <v>287</v>
      </c>
    </row>
    <row r="97" spans="1:3" x14ac:dyDescent="0.25">
      <c r="A97" s="86" t="s">
        <v>386</v>
      </c>
      <c r="B97" s="6"/>
      <c r="C97" s="79" t="s">
        <v>387</v>
      </c>
    </row>
    <row r="98" spans="1:3" ht="38" x14ac:dyDescent="0.25">
      <c r="A98" s="85" t="s">
        <v>388</v>
      </c>
      <c r="B98" s="7"/>
      <c r="C98" s="78" t="s">
        <v>389</v>
      </c>
    </row>
    <row r="99" spans="1:3" ht="38" x14ac:dyDescent="0.25">
      <c r="A99" s="86" t="s">
        <v>390</v>
      </c>
      <c r="B99" s="6"/>
      <c r="C99" s="79" t="s">
        <v>391</v>
      </c>
    </row>
    <row r="101" spans="1:3" x14ac:dyDescent="0.25">
      <c r="A101" s="76" t="s">
        <v>392</v>
      </c>
      <c r="B101" s="76"/>
      <c r="C101" s="76"/>
    </row>
    <row r="102" spans="1:3" x14ac:dyDescent="0.25">
      <c r="A102" s="77" t="s">
        <v>393</v>
      </c>
      <c r="B102" s="77"/>
      <c r="C102" s="77"/>
    </row>
    <row r="103" spans="1:3" x14ac:dyDescent="0.25">
      <c r="A103" s="5" t="s">
        <v>226</v>
      </c>
      <c r="B103" s="5" t="s">
        <v>227</v>
      </c>
      <c r="C103" s="5" t="s">
        <v>228</v>
      </c>
    </row>
    <row r="104" spans="1:3" ht="57" x14ac:dyDescent="0.25">
      <c r="A104" s="85" t="s">
        <v>394</v>
      </c>
      <c r="B104" s="7" t="s">
        <v>395</v>
      </c>
      <c r="C104" s="78" t="s">
        <v>396</v>
      </c>
    </row>
    <row r="105" spans="1:3" ht="38" x14ac:dyDescent="0.25">
      <c r="A105" s="86" t="s">
        <v>397</v>
      </c>
      <c r="B105" s="6" t="s">
        <v>398</v>
      </c>
      <c r="C105" s="79" t="s">
        <v>274</v>
      </c>
    </row>
    <row r="106" spans="1:3" ht="38" x14ac:dyDescent="0.25">
      <c r="A106" s="85" t="s">
        <v>399</v>
      </c>
      <c r="B106" s="7" t="s">
        <v>400</v>
      </c>
      <c r="C106" s="81" t="s">
        <v>287</v>
      </c>
    </row>
    <row r="107" spans="1:3" ht="38" x14ac:dyDescent="0.25">
      <c r="A107" s="86" t="s">
        <v>401</v>
      </c>
      <c r="B107" s="6" t="s">
        <v>402</v>
      </c>
      <c r="C107" s="79" t="s">
        <v>403</v>
      </c>
    </row>
    <row r="108" spans="1:3" ht="38" x14ac:dyDescent="0.25">
      <c r="A108" s="85" t="s">
        <v>404</v>
      </c>
      <c r="B108" s="7" t="s">
        <v>405</v>
      </c>
      <c r="C108" s="78" t="s">
        <v>243</v>
      </c>
    </row>
    <row r="109" spans="1:3" x14ac:dyDescent="0.25">
      <c r="A109" s="86" t="s">
        <v>406</v>
      </c>
      <c r="B109" s="6" t="s">
        <v>407</v>
      </c>
      <c r="C109" s="79" t="s">
        <v>237</v>
      </c>
    </row>
    <row r="110" spans="1:3" ht="38" x14ac:dyDescent="0.25">
      <c r="A110" s="85" t="s">
        <v>408</v>
      </c>
      <c r="B110" s="7" t="s">
        <v>409</v>
      </c>
      <c r="C110" s="78" t="s">
        <v>254</v>
      </c>
    </row>
    <row r="111" spans="1:3" ht="38" x14ac:dyDescent="0.25">
      <c r="A111" s="86" t="s">
        <v>410</v>
      </c>
      <c r="B111" s="6" t="s">
        <v>411</v>
      </c>
      <c r="C111" s="80" t="s">
        <v>287</v>
      </c>
    </row>
    <row r="112" spans="1:3" ht="57" x14ac:dyDescent="0.25">
      <c r="A112" s="85" t="s">
        <v>412</v>
      </c>
      <c r="B112" s="7" t="s">
        <v>413</v>
      </c>
      <c r="C112" s="78" t="s">
        <v>414</v>
      </c>
    </row>
    <row r="113" spans="1:3" ht="38" x14ac:dyDescent="0.25">
      <c r="A113" s="86" t="s">
        <v>415</v>
      </c>
      <c r="B113" s="6" t="s">
        <v>416</v>
      </c>
      <c r="C113" s="79" t="s">
        <v>417</v>
      </c>
    </row>
    <row r="114" spans="1:3" ht="38" x14ac:dyDescent="0.25">
      <c r="A114" s="85" t="s">
        <v>418</v>
      </c>
      <c r="B114" s="7" t="s">
        <v>419</v>
      </c>
      <c r="C114" s="78" t="s">
        <v>235</v>
      </c>
    </row>
    <row r="115" spans="1:3" ht="38" x14ac:dyDescent="0.25">
      <c r="A115" s="86" t="s">
        <v>420</v>
      </c>
      <c r="B115" s="6" t="s">
        <v>421</v>
      </c>
      <c r="C115" s="79" t="s">
        <v>422</v>
      </c>
    </row>
    <row r="116" spans="1:3" ht="38" x14ac:dyDescent="0.25">
      <c r="A116" s="85" t="s">
        <v>423</v>
      </c>
      <c r="B116" s="7"/>
      <c r="C116" s="78" t="s">
        <v>424</v>
      </c>
    </row>
    <row r="117" spans="1:3" x14ac:dyDescent="0.25">
      <c r="A117" s="86" t="s">
        <v>425</v>
      </c>
      <c r="B117" s="6" t="s">
        <v>426</v>
      </c>
      <c r="C117" s="79" t="s">
        <v>427</v>
      </c>
    </row>
    <row r="118" spans="1:3" ht="57" x14ac:dyDescent="0.25">
      <c r="A118" s="85" t="s">
        <v>428</v>
      </c>
      <c r="B118" s="7" t="s">
        <v>429</v>
      </c>
      <c r="C118" s="78" t="s">
        <v>430</v>
      </c>
    </row>
    <row r="119" spans="1:3" ht="57" x14ac:dyDescent="0.25">
      <c r="A119" s="86" t="s">
        <v>431</v>
      </c>
      <c r="B119" s="6"/>
      <c r="C119" s="79" t="s">
        <v>432</v>
      </c>
    </row>
    <row r="120" spans="1:3" x14ac:dyDescent="0.25">
      <c r="A120" s="85" t="s">
        <v>433</v>
      </c>
      <c r="B120" s="7" t="s">
        <v>434</v>
      </c>
      <c r="C120" s="78" t="s">
        <v>435</v>
      </c>
    </row>
    <row r="121" spans="1:3" ht="57" x14ac:dyDescent="0.25">
      <c r="A121" s="86" t="s">
        <v>436</v>
      </c>
      <c r="B121" s="6"/>
      <c r="C121" s="79" t="s">
        <v>437</v>
      </c>
    </row>
    <row r="122" spans="1:3" ht="76" x14ac:dyDescent="0.25">
      <c r="A122" s="85" t="s">
        <v>438</v>
      </c>
      <c r="B122" s="7"/>
      <c r="C122" s="78" t="s">
        <v>439</v>
      </c>
    </row>
    <row r="123" spans="1:3" ht="76" x14ac:dyDescent="0.25">
      <c r="A123" s="86" t="s">
        <v>440</v>
      </c>
      <c r="B123" s="6" t="s">
        <v>441</v>
      </c>
      <c r="C123" s="79" t="s">
        <v>442</v>
      </c>
    </row>
    <row r="124" spans="1:3" ht="57" x14ac:dyDescent="0.25">
      <c r="A124" s="85" t="s">
        <v>443</v>
      </c>
      <c r="B124" s="7" t="s">
        <v>444</v>
      </c>
      <c r="C124" s="78" t="s">
        <v>445</v>
      </c>
    </row>
    <row r="126" spans="1:3" x14ac:dyDescent="0.25">
      <c r="A126" s="76" t="s">
        <v>446</v>
      </c>
      <c r="B126" s="76"/>
      <c r="C126" s="76"/>
    </row>
    <row r="127" spans="1:3" x14ac:dyDescent="0.25">
      <c r="A127" s="77" t="s">
        <v>447</v>
      </c>
      <c r="B127" s="77"/>
      <c r="C127" s="77"/>
    </row>
    <row r="128" spans="1:3" x14ac:dyDescent="0.25">
      <c r="A128" s="5" t="s">
        <v>226</v>
      </c>
      <c r="B128" s="5" t="s">
        <v>227</v>
      </c>
      <c r="C128" s="5" t="s">
        <v>228</v>
      </c>
    </row>
    <row r="129" spans="1:3" ht="38" x14ac:dyDescent="0.25">
      <c r="A129" s="86" t="s">
        <v>448</v>
      </c>
      <c r="B129" s="6"/>
      <c r="C129" s="79" t="s">
        <v>449</v>
      </c>
    </row>
    <row r="130" spans="1:3" ht="38" x14ac:dyDescent="0.25">
      <c r="A130" s="85" t="s">
        <v>450</v>
      </c>
      <c r="B130" s="7" t="s">
        <v>451</v>
      </c>
      <c r="C130" s="78" t="s">
        <v>452</v>
      </c>
    </row>
    <row r="131" spans="1:3" ht="38" x14ac:dyDescent="0.25">
      <c r="A131" s="86" t="s">
        <v>453</v>
      </c>
      <c r="B131" s="6" t="s">
        <v>451</v>
      </c>
      <c r="C131" s="79" t="s">
        <v>454</v>
      </c>
    </row>
    <row r="132" spans="1:3" ht="38" x14ac:dyDescent="0.25">
      <c r="A132" s="85" t="s">
        <v>455</v>
      </c>
      <c r="B132" s="7" t="s">
        <v>456</v>
      </c>
      <c r="C132" s="78" t="s">
        <v>457</v>
      </c>
    </row>
    <row r="133" spans="1:3" ht="38" x14ac:dyDescent="0.25">
      <c r="A133" s="86" t="s">
        <v>458</v>
      </c>
      <c r="B133" s="6"/>
      <c r="C133" s="80" t="s">
        <v>287</v>
      </c>
    </row>
    <row r="134" spans="1:3" ht="133" x14ac:dyDescent="0.25">
      <c r="A134" s="85" t="s">
        <v>459</v>
      </c>
      <c r="B134" s="7" t="s">
        <v>460</v>
      </c>
      <c r="C134" s="78" t="s">
        <v>461</v>
      </c>
    </row>
    <row r="135" spans="1:3" x14ac:dyDescent="0.25">
      <c r="A135" s="86" t="s">
        <v>462</v>
      </c>
      <c r="B135" s="6"/>
      <c r="C135" s="79" t="s">
        <v>463</v>
      </c>
    </row>
    <row r="136" spans="1:3" x14ac:dyDescent="0.25">
      <c r="A136" s="85" t="s">
        <v>464</v>
      </c>
      <c r="B136" s="7" t="s">
        <v>465</v>
      </c>
      <c r="C136" s="78" t="s">
        <v>466</v>
      </c>
    </row>
    <row r="137" spans="1:3" ht="38" x14ac:dyDescent="0.25">
      <c r="A137" s="86" t="s">
        <v>467</v>
      </c>
      <c r="B137" s="6" t="s">
        <v>468</v>
      </c>
      <c r="C137" s="79" t="s">
        <v>469</v>
      </c>
    </row>
    <row r="138" spans="1:3" x14ac:dyDescent="0.25">
      <c r="A138" s="85" t="s">
        <v>470</v>
      </c>
      <c r="B138" s="7" t="s">
        <v>471</v>
      </c>
      <c r="C138" s="81" t="s">
        <v>287</v>
      </c>
    </row>
    <row r="139" spans="1:3" x14ac:dyDescent="0.25">
      <c r="A139" s="86" t="s">
        <v>472</v>
      </c>
      <c r="B139" s="6"/>
      <c r="C139" s="80" t="s">
        <v>287</v>
      </c>
    </row>
    <row r="140" spans="1:3" x14ac:dyDescent="0.25">
      <c r="A140" s="85" t="s">
        <v>473</v>
      </c>
      <c r="B140" s="7"/>
      <c r="C140" s="81" t="s">
        <v>287</v>
      </c>
    </row>
    <row r="141" spans="1:3" x14ac:dyDescent="0.25">
      <c r="A141" s="86" t="s">
        <v>474</v>
      </c>
      <c r="B141" s="6"/>
      <c r="C141" s="80" t="s">
        <v>287</v>
      </c>
    </row>
    <row r="142" spans="1:3" x14ac:dyDescent="0.25">
      <c r="A142" s="85" t="s">
        <v>475</v>
      </c>
      <c r="B142" s="7"/>
      <c r="C142" s="81" t="s">
        <v>287</v>
      </c>
    </row>
    <row r="143" spans="1:3" x14ac:dyDescent="0.25">
      <c r="A143" s="86" t="s">
        <v>476</v>
      </c>
      <c r="B143" s="6"/>
      <c r="C143" s="80" t="s">
        <v>287</v>
      </c>
    </row>
    <row r="144" spans="1:3" x14ac:dyDescent="0.25">
      <c r="A144" s="85" t="s">
        <v>477</v>
      </c>
      <c r="B144" s="7"/>
      <c r="C144" s="81" t="s">
        <v>287</v>
      </c>
    </row>
    <row r="145" spans="1:3" x14ac:dyDescent="0.25">
      <c r="A145" s="86" t="s">
        <v>478</v>
      </c>
      <c r="B145" s="6"/>
      <c r="C145" s="80" t="s">
        <v>287</v>
      </c>
    </row>
    <row r="147" spans="1:3" x14ac:dyDescent="0.25">
      <c r="A147" s="76" t="s">
        <v>479</v>
      </c>
      <c r="B147" s="76"/>
      <c r="C147" s="76"/>
    </row>
    <row r="148" spans="1:3" x14ac:dyDescent="0.25">
      <c r="A148" s="77" t="s">
        <v>480</v>
      </c>
      <c r="B148" s="77"/>
      <c r="C148" s="77"/>
    </row>
    <row r="149" spans="1:3" x14ac:dyDescent="0.25">
      <c r="A149" s="5" t="s">
        <v>226</v>
      </c>
      <c r="B149" s="5" t="s">
        <v>227</v>
      </c>
      <c r="C149" s="5" t="s">
        <v>228</v>
      </c>
    </row>
    <row r="150" spans="1:3" ht="38" x14ac:dyDescent="0.25">
      <c r="A150" s="85" t="s">
        <v>481</v>
      </c>
      <c r="B150" s="7" t="s">
        <v>482</v>
      </c>
      <c r="C150" s="78" t="s">
        <v>483</v>
      </c>
    </row>
    <row r="151" spans="1:3" ht="38" x14ac:dyDescent="0.25">
      <c r="A151" s="86" t="s">
        <v>484</v>
      </c>
      <c r="B151" s="6" t="s">
        <v>485</v>
      </c>
      <c r="C151" s="79" t="s">
        <v>486</v>
      </c>
    </row>
    <row r="152" spans="1:3" ht="38" x14ac:dyDescent="0.25">
      <c r="A152" s="85" t="s">
        <v>487</v>
      </c>
      <c r="B152" s="7" t="s">
        <v>488</v>
      </c>
      <c r="C152" s="78" t="s">
        <v>489</v>
      </c>
    </row>
    <row r="153" spans="1:3" ht="38" x14ac:dyDescent="0.25">
      <c r="A153" s="86" t="s">
        <v>490</v>
      </c>
      <c r="B153" s="6"/>
      <c r="C153" s="79" t="s">
        <v>491</v>
      </c>
    </row>
    <row r="154" spans="1:3" ht="38" x14ac:dyDescent="0.25">
      <c r="A154" s="85" t="s">
        <v>492</v>
      </c>
      <c r="B154" s="7" t="s">
        <v>493</v>
      </c>
      <c r="C154" s="78" t="s">
        <v>494</v>
      </c>
    </row>
    <row r="155" spans="1:3" ht="76" x14ac:dyDescent="0.25">
      <c r="A155" s="86" t="s">
        <v>495</v>
      </c>
      <c r="B155" s="6" t="s">
        <v>496</v>
      </c>
      <c r="C155" s="79" t="s">
        <v>497</v>
      </c>
    </row>
  </sheetData>
  <mergeCells count="12">
    <mergeCell ref="A1:C1"/>
    <mergeCell ref="A2:C2"/>
    <mergeCell ref="A4:C4"/>
    <mergeCell ref="A5:C5"/>
    <mergeCell ref="A56:C56"/>
    <mergeCell ref="A147:C147"/>
    <mergeCell ref="A148:C148"/>
    <mergeCell ref="A57:C57"/>
    <mergeCell ref="A101:C101"/>
    <mergeCell ref="A102:C102"/>
    <mergeCell ref="A126:C126"/>
    <mergeCell ref="A127:C127"/>
  </mergeCells>
  <hyperlinks>
    <hyperlink ref="C7" r:id="rId1" xr:uid="{00000000-0004-0000-0400-000000000000}"/>
    <hyperlink ref="C8" r:id="rId2" xr:uid="{00000000-0004-0000-0400-000001000000}"/>
    <hyperlink ref="C9" r:id="rId3" xr:uid="{00000000-0004-0000-0400-000002000000}"/>
    <hyperlink ref="C10" r:id="rId4" xr:uid="{00000000-0004-0000-0400-000003000000}"/>
    <hyperlink ref="C11" r:id="rId5" xr:uid="{00000000-0004-0000-0400-000004000000}"/>
    <hyperlink ref="C12" r:id="rId6" xr:uid="{00000000-0004-0000-0400-000005000000}"/>
    <hyperlink ref="C13" r:id="rId7" xr:uid="{00000000-0004-0000-0400-000006000000}"/>
    <hyperlink ref="C14" r:id="rId8" xr:uid="{00000000-0004-0000-0400-000007000000}"/>
    <hyperlink ref="C15" r:id="rId9" xr:uid="{00000000-0004-0000-0400-000008000000}"/>
    <hyperlink ref="C16" r:id="rId10" xr:uid="{00000000-0004-0000-0400-000009000000}"/>
    <hyperlink ref="C17" r:id="rId11" xr:uid="{00000000-0004-0000-0400-00000A000000}"/>
    <hyperlink ref="C18" r:id="rId12" xr:uid="{00000000-0004-0000-0400-00000B000000}"/>
    <hyperlink ref="C19" r:id="rId13" xr:uid="{00000000-0004-0000-0400-00000C000000}"/>
    <hyperlink ref="C20" r:id="rId14" xr:uid="{00000000-0004-0000-0400-00000D000000}"/>
    <hyperlink ref="C21" r:id="rId15" xr:uid="{00000000-0004-0000-0400-00000E000000}"/>
    <hyperlink ref="C22" r:id="rId16" xr:uid="{00000000-0004-0000-0400-00000F000000}"/>
    <hyperlink ref="C23" r:id="rId17" xr:uid="{00000000-0004-0000-0400-000010000000}"/>
    <hyperlink ref="C24" r:id="rId18" xr:uid="{00000000-0004-0000-0400-000011000000}"/>
    <hyperlink ref="C25" r:id="rId19" xr:uid="{00000000-0004-0000-0400-000012000000}"/>
    <hyperlink ref="C26" r:id="rId20" xr:uid="{00000000-0004-0000-0400-000013000000}"/>
    <hyperlink ref="C27" r:id="rId21" xr:uid="{00000000-0004-0000-0400-000014000000}"/>
    <hyperlink ref="C28" r:id="rId22" xr:uid="{00000000-0004-0000-0400-000015000000}"/>
    <hyperlink ref="C29" r:id="rId23" xr:uid="{00000000-0004-0000-0400-000016000000}"/>
    <hyperlink ref="C31" r:id="rId24" xr:uid="{00000000-0004-0000-0400-000017000000}"/>
    <hyperlink ref="C32" r:id="rId25" xr:uid="{00000000-0004-0000-0400-000018000000}"/>
    <hyperlink ref="C33" r:id="rId26" xr:uid="{00000000-0004-0000-0400-000019000000}"/>
    <hyperlink ref="C34" r:id="rId27" xr:uid="{00000000-0004-0000-0400-00001A000000}"/>
    <hyperlink ref="C59" r:id="rId28" xr:uid="{00000000-0004-0000-0400-00001B000000}"/>
    <hyperlink ref="C60" r:id="rId29" xr:uid="{00000000-0004-0000-0400-00001C000000}"/>
    <hyperlink ref="C61" r:id="rId30" xr:uid="{00000000-0004-0000-0400-00001D000000}"/>
    <hyperlink ref="C63" r:id="rId31" xr:uid="{00000000-0004-0000-0400-00001E000000}"/>
    <hyperlink ref="C64" r:id="rId32" xr:uid="{00000000-0004-0000-0400-00001F000000}"/>
    <hyperlink ref="C65" r:id="rId33" xr:uid="{00000000-0004-0000-0400-000020000000}"/>
    <hyperlink ref="C66" r:id="rId34" xr:uid="{00000000-0004-0000-0400-000021000000}"/>
    <hyperlink ref="C67" r:id="rId35" xr:uid="{00000000-0004-0000-0400-000022000000}"/>
    <hyperlink ref="C69" r:id="rId36" xr:uid="{00000000-0004-0000-0400-000023000000}"/>
    <hyperlink ref="C70" r:id="rId37" xr:uid="{00000000-0004-0000-0400-000024000000}"/>
    <hyperlink ref="C71" r:id="rId38" xr:uid="{00000000-0004-0000-0400-000025000000}"/>
    <hyperlink ref="C74" r:id="rId39" xr:uid="{00000000-0004-0000-0400-000026000000}"/>
    <hyperlink ref="C76" r:id="rId40" xr:uid="{00000000-0004-0000-0400-000027000000}"/>
    <hyperlink ref="C77" r:id="rId41" xr:uid="{00000000-0004-0000-0400-000028000000}"/>
    <hyperlink ref="C78" r:id="rId42" xr:uid="{00000000-0004-0000-0400-000029000000}"/>
    <hyperlink ref="C79" r:id="rId43" xr:uid="{00000000-0004-0000-0400-00002A000000}"/>
    <hyperlink ref="C80" r:id="rId44" xr:uid="{00000000-0004-0000-0400-00002B000000}"/>
    <hyperlink ref="C81" r:id="rId45" xr:uid="{00000000-0004-0000-0400-00002C000000}"/>
    <hyperlink ref="C82" r:id="rId46" xr:uid="{00000000-0004-0000-0400-00002D000000}"/>
    <hyperlink ref="C83" r:id="rId47" xr:uid="{00000000-0004-0000-0400-00002E000000}"/>
    <hyperlink ref="C84" r:id="rId48" xr:uid="{00000000-0004-0000-0400-00002F000000}"/>
    <hyperlink ref="C85" r:id="rId49" xr:uid="{00000000-0004-0000-0400-000030000000}"/>
    <hyperlink ref="C86" r:id="rId50" xr:uid="{00000000-0004-0000-0400-000031000000}"/>
    <hyperlink ref="C87" r:id="rId51" xr:uid="{00000000-0004-0000-0400-000032000000}"/>
    <hyperlink ref="C88" r:id="rId52" xr:uid="{00000000-0004-0000-0400-000033000000}"/>
    <hyperlink ref="C89" r:id="rId53" xr:uid="{00000000-0004-0000-0400-000034000000}"/>
    <hyperlink ref="C90" r:id="rId54" xr:uid="{00000000-0004-0000-0400-000035000000}"/>
    <hyperlink ref="C91" r:id="rId55" xr:uid="{00000000-0004-0000-0400-000036000000}"/>
    <hyperlink ref="C93" r:id="rId56" xr:uid="{00000000-0004-0000-0400-000037000000}"/>
    <hyperlink ref="C94" r:id="rId57" xr:uid="{00000000-0004-0000-0400-000038000000}"/>
    <hyperlink ref="C95" r:id="rId58" xr:uid="{00000000-0004-0000-0400-000039000000}"/>
    <hyperlink ref="C97" r:id="rId59" xr:uid="{00000000-0004-0000-0400-00003A000000}"/>
    <hyperlink ref="C98" r:id="rId60" xr:uid="{00000000-0004-0000-0400-00003B000000}"/>
    <hyperlink ref="C99" r:id="rId61" xr:uid="{00000000-0004-0000-0400-00003C000000}"/>
    <hyperlink ref="C104" r:id="rId62" xr:uid="{00000000-0004-0000-0400-00003D000000}"/>
    <hyperlink ref="C105" r:id="rId63" xr:uid="{00000000-0004-0000-0400-00003E000000}"/>
    <hyperlink ref="C107" r:id="rId64" xr:uid="{00000000-0004-0000-0400-00003F000000}"/>
    <hyperlink ref="C108" r:id="rId65" xr:uid="{00000000-0004-0000-0400-000040000000}"/>
    <hyperlink ref="C109" r:id="rId66" xr:uid="{00000000-0004-0000-0400-000041000000}"/>
    <hyperlink ref="C110" r:id="rId67" xr:uid="{00000000-0004-0000-0400-000042000000}"/>
    <hyperlink ref="C112" r:id="rId68" xr:uid="{00000000-0004-0000-0400-000043000000}"/>
    <hyperlink ref="C113" r:id="rId69" xr:uid="{00000000-0004-0000-0400-000044000000}"/>
    <hyperlink ref="C114" r:id="rId70" xr:uid="{00000000-0004-0000-0400-000045000000}"/>
    <hyperlink ref="C115" r:id="rId71" xr:uid="{00000000-0004-0000-0400-000046000000}"/>
    <hyperlink ref="C116" r:id="rId72" xr:uid="{00000000-0004-0000-0400-000047000000}"/>
    <hyperlink ref="C117" r:id="rId73" xr:uid="{00000000-0004-0000-0400-000048000000}"/>
    <hyperlink ref="C118" r:id="rId74" xr:uid="{00000000-0004-0000-0400-000049000000}"/>
    <hyperlink ref="C119" r:id="rId75" xr:uid="{00000000-0004-0000-0400-00004A000000}"/>
    <hyperlink ref="C120" r:id="rId76" xr:uid="{00000000-0004-0000-0400-00004B000000}"/>
    <hyperlink ref="C121" r:id="rId77" xr:uid="{00000000-0004-0000-0400-00004C000000}"/>
    <hyperlink ref="C122" r:id="rId78" xr:uid="{00000000-0004-0000-0400-00004D000000}"/>
    <hyperlink ref="C123" r:id="rId79" xr:uid="{00000000-0004-0000-0400-00004E000000}"/>
    <hyperlink ref="C124" r:id="rId80" xr:uid="{00000000-0004-0000-0400-00004F000000}"/>
    <hyperlink ref="C129" r:id="rId81" xr:uid="{00000000-0004-0000-0400-000050000000}"/>
    <hyperlink ref="C130" r:id="rId82" xr:uid="{00000000-0004-0000-0400-000051000000}"/>
    <hyperlink ref="C131" r:id="rId83" xr:uid="{00000000-0004-0000-0400-000052000000}"/>
    <hyperlink ref="C132" r:id="rId84" xr:uid="{00000000-0004-0000-0400-000053000000}"/>
    <hyperlink ref="C134" r:id="rId85" xr:uid="{00000000-0004-0000-0400-000054000000}"/>
    <hyperlink ref="C135" r:id="rId86" xr:uid="{00000000-0004-0000-0400-000055000000}"/>
    <hyperlink ref="C136" r:id="rId87" xr:uid="{00000000-0004-0000-0400-000056000000}"/>
    <hyperlink ref="C137" r:id="rId88" xr:uid="{00000000-0004-0000-0400-000057000000}"/>
    <hyperlink ref="C150" r:id="rId89" xr:uid="{00000000-0004-0000-0400-000058000000}"/>
    <hyperlink ref="C151" r:id="rId90" xr:uid="{00000000-0004-0000-0400-000059000000}"/>
    <hyperlink ref="C152" r:id="rId91" xr:uid="{00000000-0004-0000-0400-00005A000000}"/>
    <hyperlink ref="C153" r:id="rId92" xr:uid="{00000000-0004-0000-0400-00005B000000}"/>
    <hyperlink ref="C154" r:id="rId93" xr:uid="{00000000-0004-0000-0400-00005C000000}"/>
    <hyperlink ref="C155" r:id="rId94" xr:uid="{00000000-0004-0000-0400-00005D000000}"/>
  </hyperlinks>
  <pageMargins left="0.4" right="0.4" top="0.5" bottom="0.5"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pageSetUpPr fitToPage="1"/>
  </sheetPr>
  <dimension ref="A1:E43"/>
  <sheetViews>
    <sheetView showGridLines="0" zoomScaleNormal="100" workbookViewId="0">
      <selection activeCell="G16" sqref="G16:G17"/>
    </sheetView>
  </sheetViews>
  <sheetFormatPr baseColWidth="10" defaultColWidth="8.6640625" defaultRowHeight="19" x14ac:dyDescent="0.25"/>
  <cols>
    <col min="1" max="1" width="37.33203125" style="4" bestFit="1" customWidth="1"/>
    <col min="2" max="2" width="24.83203125" style="4" bestFit="1" customWidth="1"/>
    <col min="3" max="3" width="14.1640625" style="4" bestFit="1" customWidth="1"/>
    <col min="4" max="5" width="14.6640625" style="4" bestFit="1" customWidth="1"/>
    <col min="6" max="16384" width="8.6640625" style="4"/>
  </cols>
  <sheetData>
    <row r="1" spans="1:5" ht="33.75" customHeight="1" x14ac:dyDescent="0.25">
      <c r="A1" s="70" t="s">
        <v>38</v>
      </c>
      <c r="B1" s="70"/>
      <c r="C1" s="70"/>
      <c r="D1" s="70"/>
      <c r="E1" s="70"/>
    </row>
    <row r="2" spans="1:5" ht="81" customHeight="1" x14ac:dyDescent="0.25">
      <c r="A2" s="55" t="s">
        <v>39</v>
      </c>
      <c r="B2" s="55"/>
      <c r="C2" s="55"/>
      <c r="D2" s="55"/>
      <c r="E2" s="55"/>
    </row>
    <row r="4" spans="1:5" ht="19.5" customHeight="1" x14ac:dyDescent="0.25">
      <c r="A4" s="56" t="s">
        <v>40</v>
      </c>
      <c r="B4" s="57"/>
    </row>
    <row r="5" spans="1:5" ht="19.5" customHeight="1" x14ac:dyDescent="0.25">
      <c r="A5" s="56" t="s">
        <v>41</v>
      </c>
      <c r="B5" s="57"/>
    </row>
    <row r="6" spans="1:5" ht="19.5" customHeight="1" x14ac:dyDescent="0.25">
      <c r="A6" s="56" t="s">
        <v>42</v>
      </c>
      <c r="B6" s="57"/>
    </row>
    <row r="7" spans="1:5" ht="19.5" customHeight="1" x14ac:dyDescent="0.25">
      <c r="A7" s="56" t="s">
        <v>43</v>
      </c>
      <c r="B7" s="58"/>
    </row>
    <row r="9" spans="1:5" ht="23" x14ac:dyDescent="0.25">
      <c r="A9" s="10" t="s">
        <v>44</v>
      </c>
    </row>
    <row r="11" spans="1:5" ht="25.5" customHeight="1" x14ac:dyDescent="0.25">
      <c r="A11" s="59" t="s">
        <v>45</v>
      </c>
      <c r="B11" s="59" t="s">
        <v>46</v>
      </c>
      <c r="C11" s="59" t="s">
        <v>47</v>
      </c>
      <c r="D11" s="59" t="s">
        <v>48</v>
      </c>
      <c r="E11" s="59" t="s">
        <v>49</v>
      </c>
    </row>
    <row r="12" spans="1:5" ht="30" customHeight="1" x14ac:dyDescent="0.25">
      <c r="A12" s="60">
        <f>COUNTIF('Degree Planner'!$D$5:$D$77,"&lt;&gt;")</f>
        <v>72</v>
      </c>
      <c r="B12" s="60">
        <f>COUNTIFS('Degree Planner'!$D$5:$D$77,"&lt;&gt;",'Degree Planner'!$G$5:$G$77,"○ Not Started")</f>
        <v>72</v>
      </c>
      <c r="C12" s="60">
        <f>COUNTIFS('Degree Planner'!$D$5:$D$77,"&lt;&gt;",'Degree Planner'!$G$5:$G$77,"◐ In Progress")</f>
        <v>0</v>
      </c>
      <c r="D12" s="60">
        <f>COUNTIFS('Degree Planner'!$D$5:$D$77,"&lt;&gt;",'Degree Planner'!$G$5:$G$77,"✓ Complete")</f>
        <v>0</v>
      </c>
      <c r="E12" s="61">
        <f>IFERROR(D12/A12,0)</f>
        <v>0</v>
      </c>
    </row>
    <row r="14" spans="1:5" x14ac:dyDescent="0.25">
      <c r="A14" s="3" t="s">
        <v>50</v>
      </c>
    </row>
    <row r="16" spans="1:5" ht="25.5" customHeight="1" x14ac:dyDescent="0.25">
      <c r="A16" s="59" t="s">
        <v>51</v>
      </c>
      <c r="B16" s="59" t="s">
        <v>52</v>
      </c>
      <c r="C16" s="59" t="s">
        <v>48</v>
      </c>
      <c r="D16" s="59" t="s">
        <v>49</v>
      </c>
    </row>
    <row r="17" spans="1:4" x14ac:dyDescent="0.25">
      <c r="A17" s="60" t="str">
        <f>IF(SelectedTrack="","(none selected)",SelectedTrack)</f>
        <v>(none selected)</v>
      </c>
      <c r="B17" s="60">
        <f>COUNTIFS('Degree Planner'!$M$5:$M$77,"Show",'Degree Planner'!$D$5:$D$77,"&lt;&gt;")</f>
        <v>47</v>
      </c>
      <c r="C17" s="60">
        <f>COUNTIFS('Degree Planner'!$M$5:$M$77,"Show",'Degree Planner'!$G$5:$G$77,"✓ Complete")</f>
        <v>0</v>
      </c>
      <c r="D17" s="61">
        <f>IFERROR(C17/B17,0)</f>
        <v>0</v>
      </c>
    </row>
    <row r="19" spans="1:4" x14ac:dyDescent="0.25">
      <c r="A19" s="3" t="s">
        <v>53</v>
      </c>
    </row>
    <row r="21" spans="1:4" x14ac:dyDescent="0.25">
      <c r="A21" s="5" t="s">
        <v>54</v>
      </c>
      <c r="B21" s="5" t="s">
        <v>674</v>
      </c>
      <c r="C21" s="5" t="s">
        <v>48</v>
      </c>
      <c r="D21" s="5" t="s">
        <v>49</v>
      </c>
    </row>
    <row r="22" spans="1:4" x14ac:dyDescent="0.25">
      <c r="A22" s="62" t="s">
        <v>55</v>
      </c>
      <c r="B22" s="63">
        <f>COUNTIFS('Degree Planner'!$A$5:$A$77,A22,'Degree Planner'!$D$5:$D$77,"&lt;&gt;")</f>
        <v>11</v>
      </c>
      <c r="C22" s="63">
        <f>COUNTIFS('Degree Planner'!$A$5:$A$77,A22,'Degree Planner'!$G$5:$G$77,"✓ Complete")</f>
        <v>0</v>
      </c>
      <c r="D22" s="64">
        <f t="shared" ref="D22:D29" si="0">IFERROR(C22/B22,0)</f>
        <v>0</v>
      </c>
    </row>
    <row r="23" spans="1:4" x14ac:dyDescent="0.25">
      <c r="A23" s="65" t="s">
        <v>56</v>
      </c>
      <c r="B23" s="66">
        <f>COUNTIFS('Degree Planner'!$A$5:$A$77,A23,'Degree Planner'!$D$5:$D$77,"&lt;&gt;")</f>
        <v>13</v>
      </c>
      <c r="C23" s="66">
        <f>COUNTIFS('Degree Planner'!$A$5:$A$77,A23,'Degree Planner'!$G$5:$G$77,"✓ Complete")</f>
        <v>0</v>
      </c>
      <c r="D23" s="67">
        <f t="shared" si="0"/>
        <v>0</v>
      </c>
    </row>
    <row r="24" spans="1:4" x14ac:dyDescent="0.25">
      <c r="A24" s="62" t="s">
        <v>57</v>
      </c>
      <c r="B24" s="63">
        <f>COUNTIFS('Degree Planner'!$A$5:$A$77,A24,'Degree Planner'!$D$5:$D$77,"&lt;&gt;")</f>
        <v>13</v>
      </c>
      <c r="C24" s="63">
        <f>COUNTIFS('Degree Planner'!$A$5:$A$77,A24,'Degree Planner'!$G$5:$G$77,"✓ Complete")</f>
        <v>0</v>
      </c>
      <c r="D24" s="64">
        <f t="shared" si="0"/>
        <v>0</v>
      </c>
    </row>
    <row r="25" spans="1:4" x14ac:dyDescent="0.25">
      <c r="A25" s="65" t="s">
        <v>58</v>
      </c>
      <c r="B25" s="66">
        <f>COUNTIFS('Degree Planner'!$A$5:$A$77,A25,'Degree Planner'!$D$5:$D$77,"&lt;&gt;")</f>
        <v>15</v>
      </c>
      <c r="C25" s="66">
        <f>COUNTIFS('Degree Planner'!$A$5:$A$77,A25,'Degree Planner'!$G$5:$G$77,"✓ Complete")</f>
        <v>0</v>
      </c>
      <c r="D25" s="67">
        <f t="shared" si="0"/>
        <v>0</v>
      </c>
    </row>
    <row r="26" spans="1:4" x14ac:dyDescent="0.25">
      <c r="A26" s="62" t="s">
        <v>59</v>
      </c>
      <c r="B26" s="63">
        <f>COUNTIFS('Degree Planner'!$A$5:$A$77,A26,'Degree Planner'!$D$5:$D$77,"&lt;&gt;")</f>
        <v>20</v>
      </c>
      <c r="C26" s="63">
        <f>COUNTIFS('Degree Planner'!$A$5:$A$77,A26,'Degree Planner'!$G$5:$G$77,"✓ Complete")</f>
        <v>0</v>
      </c>
      <c r="D26" s="64">
        <f t="shared" si="0"/>
        <v>0</v>
      </c>
    </row>
    <row r="27" spans="1:4" x14ac:dyDescent="0.25">
      <c r="A27" s="65" t="s">
        <v>60</v>
      </c>
      <c r="B27" s="66">
        <f>COUNTIFS('Degree Planner'!$A$5:$A$77,A27,'Degree Planner'!$D$5:$D$77,"&lt;&gt;")</f>
        <v>0</v>
      </c>
      <c r="C27" s="66">
        <f>COUNTIFS('Degree Planner'!$A$5:$A$77,A27,'Degree Planner'!$G$5:$G$77,"✓ Complete")</f>
        <v>0</v>
      </c>
      <c r="D27" s="67">
        <f t="shared" si="0"/>
        <v>0</v>
      </c>
    </row>
    <row r="28" spans="1:4" x14ac:dyDescent="0.25">
      <c r="A28" s="62" t="s">
        <v>61</v>
      </c>
      <c r="B28" s="63">
        <f>COUNTIFS('Degree Planner'!$A$5:$A$77,A28,'Degree Planner'!$D$5:$D$77,"&lt;&gt;")</f>
        <v>0</v>
      </c>
      <c r="C28" s="63">
        <f>COUNTIFS('Degree Planner'!$A$5:$A$77,A28,'Degree Planner'!$G$5:$G$77,"✓ Complete")</f>
        <v>0</v>
      </c>
      <c r="D28" s="64">
        <f t="shared" si="0"/>
        <v>0</v>
      </c>
    </row>
    <row r="29" spans="1:4" x14ac:dyDescent="0.25">
      <c r="A29" s="65" t="s">
        <v>62</v>
      </c>
      <c r="B29" s="66">
        <f>COUNTIFS('Degree Planner'!$A$5:$A$77,A29,'Degree Planner'!$D$5:$D$77,"&lt;&gt;")</f>
        <v>0</v>
      </c>
      <c r="C29" s="66">
        <f>COUNTIFS('Degree Planner'!$A$5:$A$77,A29,'Degree Planner'!$G$5:$G$77,"✓ Complete")</f>
        <v>0</v>
      </c>
      <c r="D29" s="67">
        <f t="shared" si="0"/>
        <v>0</v>
      </c>
    </row>
    <row r="31" spans="1:4" x14ac:dyDescent="0.25">
      <c r="A31" s="3" t="s">
        <v>63</v>
      </c>
    </row>
    <row r="33" spans="1:4" x14ac:dyDescent="0.25">
      <c r="A33" s="5" t="s">
        <v>64</v>
      </c>
      <c r="B33" s="5" t="s">
        <v>673</v>
      </c>
      <c r="C33" s="5" t="s">
        <v>48</v>
      </c>
      <c r="D33" s="5" t="s">
        <v>49</v>
      </c>
    </row>
    <row r="34" spans="1:4" x14ac:dyDescent="0.25">
      <c r="A34" s="68" t="s">
        <v>65</v>
      </c>
      <c r="B34" s="63">
        <f>COUNTIFS('Degree Planner'!$C$5:$C$77,A34,'Degree Planner'!$D$5:$D$77,"&lt;&gt;")</f>
        <v>2</v>
      </c>
      <c r="C34" s="63">
        <f>COUNTIFS('Degree Planner'!$C$5:$C$77,A34,'Degree Planner'!$G$5:$G$77,"✓ Complete")</f>
        <v>0</v>
      </c>
      <c r="D34" s="64">
        <f t="shared" ref="D34:D43" si="1">IFERROR(C34/B34,0)</f>
        <v>0</v>
      </c>
    </row>
    <row r="35" spans="1:4" ht="38" x14ac:dyDescent="0.25">
      <c r="A35" s="68" t="s">
        <v>67</v>
      </c>
      <c r="B35" s="63">
        <f>COUNTIFS('Degree Planner'!$C$5:$C$77,A35,'Degree Planner'!$D$5:$D$77,"&lt;&gt;")</f>
        <v>11</v>
      </c>
      <c r="C35" s="63">
        <f>COUNTIFS('Degree Planner'!$C$5:$C$77,A35,'Degree Planner'!$G$5:$G$77,"✓ Complete")</f>
        <v>0</v>
      </c>
      <c r="D35" s="64">
        <f t="shared" si="1"/>
        <v>0</v>
      </c>
    </row>
    <row r="36" spans="1:4" x14ac:dyDescent="0.25">
      <c r="A36" s="69" t="s">
        <v>68</v>
      </c>
      <c r="B36" s="66">
        <f>COUNTIFS('Degree Planner'!$C$5:$C$77,A36,'Degree Planner'!$D$5:$D$77,"&lt;&gt;")</f>
        <v>9</v>
      </c>
      <c r="C36" s="66">
        <f>COUNTIFS('Degree Planner'!$C$5:$C$77,A36,'Degree Planner'!$G$5:$G$77,"✓ Complete")</f>
        <v>0</v>
      </c>
      <c r="D36" s="67">
        <f t="shared" si="1"/>
        <v>0</v>
      </c>
    </row>
    <row r="37" spans="1:4" x14ac:dyDescent="0.25">
      <c r="A37" s="68" t="s">
        <v>69</v>
      </c>
      <c r="B37" s="63">
        <f>COUNTIFS('Degree Planner'!$C$5:$C$77,A37,'Degree Planner'!$D$5:$D$77,"&lt;&gt;")</f>
        <v>2</v>
      </c>
      <c r="C37" s="63">
        <f>COUNTIFS('Degree Planner'!$C$5:$C$77,A37,'Degree Planner'!$G$5:$G$77,"✓ Complete")</f>
        <v>0</v>
      </c>
      <c r="D37" s="64">
        <f t="shared" si="1"/>
        <v>0</v>
      </c>
    </row>
    <row r="38" spans="1:4" x14ac:dyDescent="0.25">
      <c r="A38" s="69" t="s">
        <v>70</v>
      </c>
      <c r="B38" s="66">
        <f>COUNTIFS('Degree Planner'!$C$5:$C$77,A38,'Degree Planner'!$D$5:$D$77,"&lt;&gt;")</f>
        <v>6</v>
      </c>
      <c r="C38" s="66">
        <f>COUNTIFS('Degree Planner'!$C$5:$C$77,A38,'Degree Planner'!$G$5:$G$77,"✓ Complete")</f>
        <v>0</v>
      </c>
      <c r="D38" s="67">
        <f t="shared" si="1"/>
        <v>0</v>
      </c>
    </row>
    <row r="39" spans="1:4" x14ac:dyDescent="0.25">
      <c r="A39" s="68" t="s">
        <v>71</v>
      </c>
      <c r="B39" s="63">
        <f>COUNTIFS('Degree Planner'!$C$5:$C$77,A39,'Degree Planner'!$D$5:$D$77,"&lt;&gt;")</f>
        <v>10</v>
      </c>
      <c r="C39" s="63">
        <f>COUNTIFS('Degree Planner'!$C$5:$C$77,A39,'Degree Planner'!$G$5:$G$77,"✓ Complete")</f>
        <v>0</v>
      </c>
      <c r="D39" s="64">
        <f t="shared" si="1"/>
        <v>0</v>
      </c>
    </row>
    <row r="40" spans="1:4" x14ac:dyDescent="0.25">
      <c r="A40" s="69" t="s">
        <v>72</v>
      </c>
      <c r="B40" s="66">
        <f>COUNTIFS('Degree Planner'!$C$5:$C$77,A40,'Degree Planner'!$D$5:$D$77,"&lt;&gt;")</f>
        <v>1</v>
      </c>
      <c r="C40" s="66">
        <f>COUNTIFS('Degree Planner'!$C$5:$C$77,A40,'Degree Planner'!$G$5:$G$77,"✓ Complete")</f>
        <v>0</v>
      </c>
      <c r="D40" s="67">
        <f t="shared" si="1"/>
        <v>0</v>
      </c>
    </row>
    <row r="41" spans="1:4" x14ac:dyDescent="0.25">
      <c r="A41" s="68" t="s">
        <v>73</v>
      </c>
      <c r="B41" s="63">
        <f>COUNTIFS('Degree Planner'!$C$5:$C$77,A41,'Degree Planner'!$D$5:$D$77,"&lt;&gt;")</f>
        <v>2</v>
      </c>
      <c r="C41" s="63">
        <f>COUNTIFS('Degree Planner'!$C$5:$C$77,A41,'Degree Planner'!$G$5:$G$77,"✓ Complete")</f>
        <v>0</v>
      </c>
      <c r="D41" s="64">
        <f t="shared" si="1"/>
        <v>0</v>
      </c>
    </row>
    <row r="42" spans="1:4" x14ac:dyDescent="0.25">
      <c r="A42" s="69" t="s">
        <v>74</v>
      </c>
      <c r="B42" s="66">
        <f>COUNTIFS('Degree Planner'!$C$5:$C$77,A42,'Degree Planner'!$D$5:$D$77,"&lt;&gt;")</f>
        <v>13</v>
      </c>
      <c r="C42" s="66">
        <f>COUNTIFS('Degree Planner'!$C$5:$C$77,A42,'Degree Planner'!$G$5:$G$77,"✓ Complete")</f>
        <v>0</v>
      </c>
      <c r="D42" s="67">
        <f t="shared" si="1"/>
        <v>0</v>
      </c>
    </row>
    <row r="43" spans="1:4" x14ac:dyDescent="0.25">
      <c r="A43" s="68" t="s">
        <v>75</v>
      </c>
      <c r="B43" s="63">
        <f>COUNTIFS('Degree Planner'!$C$5:$C$77,A43,'Degree Planner'!$D$5:$D$77,"&lt;&gt;")</f>
        <v>1</v>
      </c>
      <c r="C43" s="63">
        <f>COUNTIFS('Degree Planner'!$C$5:$C$77,A43,'Degree Planner'!$G$5:$G$77,"✓ Complete")</f>
        <v>0</v>
      </c>
      <c r="D43" s="64">
        <f t="shared" si="1"/>
        <v>0</v>
      </c>
    </row>
  </sheetData>
  <mergeCells count="2">
    <mergeCell ref="A1:E1"/>
    <mergeCell ref="A2:E2"/>
  </mergeCells>
  <conditionalFormatting sqref="D22:D29">
    <cfRule type="dataBar" priority="2">
      <dataBar>
        <cfvo type="num" val="0"/>
        <cfvo type="num" val="1"/>
        <color rgb="FF1F3864"/>
      </dataBar>
      <extLst>
        <ext xmlns:x14="http://schemas.microsoft.com/office/spreadsheetml/2009/9/main" uri="{B025F937-C7B1-47D3-B67F-A62EFF666E3E}">
          <x14:id>{49F93021-22E6-489C-8613-4AE8583000B0}</x14:id>
        </ext>
      </extLst>
    </cfRule>
  </conditionalFormatting>
  <conditionalFormatting sqref="D34:D43">
    <cfRule type="dataBar" priority="3">
      <dataBar>
        <cfvo type="num" val="0"/>
        <cfvo type="num" val="1"/>
        <color rgb="FF2E7D32"/>
      </dataBar>
      <extLst>
        <ext xmlns:x14="http://schemas.microsoft.com/office/spreadsheetml/2009/9/main" uri="{B025F937-C7B1-47D3-B67F-A62EFF666E3E}">
          <x14:id>{48AFADDD-24DA-417F-8046-5C4FB0C62878}</x14:id>
        </ext>
      </extLst>
    </cfRule>
  </conditionalFormatting>
  <pageMargins left="0.4" right="0.4" top="0.5" bottom="0.5"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49F93021-22E6-489C-8613-4AE8583000B0}">
            <x14:dataBar axisPosition="none">
              <x14:cfvo type="num">
                <xm:f>0</xm:f>
              </x14:cfvo>
              <x14:cfvo type="num">
                <xm:f>1</xm:f>
              </x14:cfvo>
              <x14:negativeFillColor rgb="FF1F3864"/>
            </x14:dataBar>
          </x14:cfRule>
          <xm:sqref>D22:D29</xm:sqref>
        </x14:conditionalFormatting>
        <x14:conditionalFormatting xmlns:xm="http://schemas.microsoft.com/office/excel/2006/main">
          <x14:cfRule type="dataBar" id="{48AFADDD-24DA-417F-8046-5C4FB0C62878}">
            <x14:dataBar axisPosition="none">
              <x14:cfvo type="num">
                <xm:f>0</xm:f>
              </x14:cfvo>
              <x14:cfvo type="num">
                <xm:f>1</xm:f>
              </x14:cfvo>
              <x14:negativeFillColor rgb="FF2E7D32"/>
            </x14:dataBar>
          </x14:cfRule>
          <xm:sqref>D34:D43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Please choose from the list" error="Use the dropdown arrow to pick one of the listed options." promptTitle="My Career Track" prompt="Choose the track that best matches your goals. You can change this anytime — the Degree Planner's 'Relevant to Selected Track' column updates automatically." xr:uid="{00000000-0002-0000-0100-000000000000}">
          <x14:formula1>
            <xm:f>Lists!$A$2:$A$7</xm:f>
          </x14:formula1>
          <x14:formula2>
            <xm:f>0</xm:f>
          </x14:formula2>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A227"/>
    <pageSetUpPr fitToPage="1"/>
  </sheetPr>
  <dimension ref="A1:M77"/>
  <sheetViews>
    <sheetView showGridLines="0" zoomScaleNormal="100" workbookViewId="0">
      <pane ySplit="4" topLeftCell="A28" activePane="bottomLeft" state="frozen"/>
      <selection pane="bottomLeft" activeCell="I14" sqref="I14"/>
    </sheetView>
  </sheetViews>
  <sheetFormatPr baseColWidth="10" defaultColWidth="8.6640625" defaultRowHeight="15" x14ac:dyDescent="0.2"/>
  <cols>
    <col min="1" max="1" width="12.6640625" bestFit="1" customWidth="1"/>
    <col min="2" max="2" width="25.33203125" bestFit="1" customWidth="1"/>
    <col min="3" max="3" width="20" customWidth="1"/>
    <col min="4" max="4" width="39.6640625" bestFit="1" customWidth="1"/>
    <col min="5" max="5" width="13.83203125" bestFit="1" customWidth="1"/>
    <col min="6" max="6" width="23.83203125" bestFit="1" customWidth="1"/>
    <col min="7" max="7" width="14" bestFit="1" customWidth="1"/>
    <col min="8" max="8" width="31.83203125" bestFit="1" customWidth="1"/>
    <col min="9" max="9" width="25.83203125" bestFit="1" customWidth="1"/>
    <col min="10" max="10" width="25" bestFit="1" customWidth="1"/>
    <col min="11" max="11" width="25.5" bestFit="1" customWidth="1"/>
    <col min="12" max="12" width="24" bestFit="1" customWidth="1"/>
    <col min="13" max="13" width="22.83203125" bestFit="1" customWidth="1"/>
  </cols>
  <sheetData>
    <row r="1" spans="1:13" s="42" customFormat="1" ht="33.75" customHeight="1" x14ac:dyDescent="0.2">
      <c r="A1" s="29" t="s">
        <v>77</v>
      </c>
      <c r="B1" s="29"/>
      <c r="C1" s="29"/>
      <c r="D1" s="29"/>
      <c r="E1" s="29"/>
      <c r="F1" s="29"/>
      <c r="G1" s="29"/>
      <c r="H1" s="29"/>
      <c r="I1" s="29"/>
      <c r="J1" s="29"/>
      <c r="K1" s="29"/>
      <c r="L1" s="29"/>
      <c r="M1" s="29"/>
    </row>
    <row r="2" spans="1:13" ht="129" customHeight="1" x14ac:dyDescent="0.2">
      <c r="A2" s="54" t="s">
        <v>78</v>
      </c>
      <c r="B2" s="54"/>
      <c r="C2" s="54"/>
      <c r="D2" s="54"/>
      <c r="E2" s="54"/>
      <c r="F2" s="54"/>
      <c r="G2" s="54"/>
      <c r="H2" s="54"/>
      <c r="I2" s="54"/>
      <c r="J2" s="54"/>
      <c r="K2" s="54"/>
      <c r="L2" s="54"/>
      <c r="M2" s="54"/>
    </row>
    <row r="4" spans="1:13" ht="38" x14ac:dyDescent="0.2">
      <c r="A4" s="5" t="s">
        <v>79</v>
      </c>
      <c r="B4" s="5" t="s">
        <v>80</v>
      </c>
      <c r="C4" s="5" t="s">
        <v>64</v>
      </c>
      <c r="D4" s="5" t="s">
        <v>81</v>
      </c>
      <c r="E4" s="5" t="s">
        <v>82</v>
      </c>
      <c r="F4" s="5" t="s">
        <v>83</v>
      </c>
      <c r="G4" s="5" t="s">
        <v>84</v>
      </c>
      <c r="H4" s="5" t="s">
        <v>85</v>
      </c>
      <c r="I4" s="5" t="s">
        <v>86</v>
      </c>
      <c r="J4" s="5" t="s">
        <v>87</v>
      </c>
      <c r="K4" s="5" t="s">
        <v>88</v>
      </c>
      <c r="L4" s="5" t="s">
        <v>89</v>
      </c>
      <c r="M4" s="5" t="s">
        <v>90</v>
      </c>
    </row>
    <row r="5" spans="1:13" ht="38" x14ac:dyDescent="0.2">
      <c r="A5" s="7" t="s">
        <v>55</v>
      </c>
      <c r="B5" s="7" t="s">
        <v>91</v>
      </c>
      <c r="C5" s="7" t="s">
        <v>65</v>
      </c>
      <c r="D5" s="7" t="s">
        <v>92</v>
      </c>
      <c r="E5" s="7" t="s">
        <v>93</v>
      </c>
      <c r="F5" s="7" t="s">
        <v>94</v>
      </c>
      <c r="G5" s="7" t="s">
        <v>8</v>
      </c>
      <c r="H5" s="7"/>
      <c r="I5" s="7"/>
      <c r="J5" s="87"/>
      <c r="K5" s="87"/>
      <c r="L5" s="87"/>
      <c r="M5" s="66" t="str">
        <f>IF(OR($F5="All Tracks",$F5=SelectedTrack),"Show","Hide")</f>
        <v>Show</v>
      </c>
    </row>
    <row r="6" spans="1:13" ht="38" x14ac:dyDescent="0.2">
      <c r="A6" s="7" t="s">
        <v>55</v>
      </c>
      <c r="B6" s="7" t="s">
        <v>91</v>
      </c>
      <c r="C6" s="7" t="s">
        <v>66</v>
      </c>
      <c r="D6" s="7" t="s">
        <v>95</v>
      </c>
      <c r="E6" s="7" t="s">
        <v>93</v>
      </c>
      <c r="F6" s="7" t="s">
        <v>94</v>
      </c>
      <c r="G6" s="7" t="s">
        <v>8</v>
      </c>
      <c r="H6" s="7"/>
      <c r="I6" s="87"/>
      <c r="J6" s="87"/>
      <c r="K6" s="87"/>
      <c r="L6" s="87"/>
      <c r="M6" s="66" t="str">
        <f>IF(OR($F6="All Tracks",$F6=SelectedTrack),"Show","Hide")</f>
        <v>Show</v>
      </c>
    </row>
    <row r="7" spans="1:13" ht="57" x14ac:dyDescent="0.2">
      <c r="A7" s="7" t="s">
        <v>55</v>
      </c>
      <c r="B7" s="7" t="s">
        <v>91</v>
      </c>
      <c r="C7" s="7" t="s">
        <v>67</v>
      </c>
      <c r="D7" s="7" t="s">
        <v>96</v>
      </c>
      <c r="E7" s="7" t="s">
        <v>97</v>
      </c>
      <c r="F7" s="7" t="s">
        <v>94</v>
      </c>
      <c r="G7" s="7" t="s">
        <v>8</v>
      </c>
      <c r="H7" s="7"/>
      <c r="I7" s="7"/>
      <c r="J7" s="87"/>
      <c r="K7" s="87"/>
      <c r="L7" s="87"/>
      <c r="M7" s="66" t="str">
        <f>IF(OR($F7="All Tracks",$F7=SelectedTrack),"Show","Hide")</f>
        <v>Show</v>
      </c>
    </row>
    <row r="8" spans="1:13" ht="57" x14ac:dyDescent="0.2">
      <c r="A8" s="7" t="s">
        <v>55</v>
      </c>
      <c r="B8" s="7" t="s">
        <v>91</v>
      </c>
      <c r="C8" s="7" t="s">
        <v>67</v>
      </c>
      <c r="D8" s="7" t="s">
        <v>98</v>
      </c>
      <c r="E8" s="7" t="s">
        <v>97</v>
      </c>
      <c r="F8" s="7" t="s">
        <v>94</v>
      </c>
      <c r="G8" s="7" t="s">
        <v>8</v>
      </c>
      <c r="H8" s="7"/>
      <c r="I8" s="7"/>
      <c r="J8" s="87"/>
      <c r="K8" s="87"/>
      <c r="L8" s="87"/>
      <c r="M8" s="66" t="str">
        <f>IF(OR($F8="All Tracks",$F8=SelectedTrack),"Show","Hide")</f>
        <v>Show</v>
      </c>
    </row>
    <row r="9" spans="1:13" ht="57" x14ac:dyDescent="0.2">
      <c r="A9" s="7" t="s">
        <v>55</v>
      </c>
      <c r="B9" s="7" t="s">
        <v>99</v>
      </c>
      <c r="C9" s="7" t="s">
        <v>68</v>
      </c>
      <c r="D9" s="7" t="s">
        <v>100</v>
      </c>
      <c r="E9" s="7" t="s">
        <v>93</v>
      </c>
      <c r="F9" s="7" t="s">
        <v>94</v>
      </c>
      <c r="G9" s="7" t="s">
        <v>8</v>
      </c>
      <c r="H9" s="7" t="s">
        <v>101</v>
      </c>
      <c r="I9" s="7"/>
      <c r="J9" s="87" t="s">
        <v>102</v>
      </c>
      <c r="K9" s="87"/>
      <c r="L9" s="87"/>
      <c r="M9" s="66" t="str">
        <f>IF(OR($F9="All Tracks",$F9=SelectedTrack),"Show","Hide")</f>
        <v>Show</v>
      </c>
    </row>
    <row r="10" spans="1:13" s="4" customFormat="1" ht="45" x14ac:dyDescent="0.25">
      <c r="A10" s="7" t="s">
        <v>55</v>
      </c>
      <c r="B10" s="7" t="s">
        <v>91</v>
      </c>
      <c r="C10" s="7" t="s">
        <v>67</v>
      </c>
      <c r="D10" s="7" t="s">
        <v>153</v>
      </c>
      <c r="E10" s="7" t="s">
        <v>97</v>
      </c>
      <c r="F10" s="7" t="s">
        <v>154</v>
      </c>
      <c r="G10" s="7" t="s">
        <v>8</v>
      </c>
      <c r="H10" s="7"/>
      <c r="I10" s="7"/>
      <c r="J10" s="87"/>
      <c r="K10" s="87"/>
      <c r="L10" s="87"/>
      <c r="M10" s="66" t="str">
        <f>IF(OR($F10="All Tracks",$F10=SelectedTrack),"Show","Hide")</f>
        <v>Hide</v>
      </c>
    </row>
    <row r="11" spans="1:13" ht="45" x14ac:dyDescent="0.2">
      <c r="A11" s="7" t="s">
        <v>55</v>
      </c>
      <c r="B11" s="7" t="s">
        <v>91</v>
      </c>
      <c r="C11" s="7" t="s">
        <v>67</v>
      </c>
      <c r="D11" s="7" t="s">
        <v>155</v>
      </c>
      <c r="E11" s="7" t="s">
        <v>97</v>
      </c>
      <c r="F11" s="7" t="s">
        <v>154</v>
      </c>
      <c r="G11" s="7" t="s">
        <v>8</v>
      </c>
      <c r="H11" s="7"/>
      <c r="I11" s="7"/>
      <c r="J11" s="87"/>
      <c r="K11" s="87"/>
      <c r="L11" s="87"/>
      <c r="M11" s="66" t="str">
        <f>IF(OR($F11="All Tracks",$F11=SelectedTrack),"Show","Hide")</f>
        <v>Hide</v>
      </c>
    </row>
    <row r="12" spans="1:13" ht="57" x14ac:dyDescent="0.2">
      <c r="A12" s="7" t="s">
        <v>55</v>
      </c>
      <c r="B12" s="7" t="s">
        <v>91</v>
      </c>
      <c r="C12" s="7" t="s">
        <v>76</v>
      </c>
      <c r="D12" s="7" t="s">
        <v>175</v>
      </c>
      <c r="E12" s="7" t="s">
        <v>97</v>
      </c>
      <c r="F12" s="7" t="s">
        <v>94</v>
      </c>
      <c r="G12" s="7" t="s">
        <v>8</v>
      </c>
      <c r="H12" s="7"/>
      <c r="I12" s="7"/>
      <c r="J12" s="87"/>
      <c r="K12" s="87"/>
      <c r="L12" s="87"/>
      <c r="M12" s="66" t="str">
        <f>IF(OR($F12="All Tracks",$F12=SelectedTrack),"Show","Hide")</f>
        <v>Show</v>
      </c>
    </row>
    <row r="13" spans="1:13" ht="57" x14ac:dyDescent="0.2">
      <c r="A13" s="7" t="s">
        <v>55</v>
      </c>
      <c r="B13" s="7" t="s">
        <v>91</v>
      </c>
      <c r="C13" s="7" t="s">
        <v>76</v>
      </c>
      <c r="D13" s="7" t="s">
        <v>176</v>
      </c>
      <c r="E13" s="7" t="s">
        <v>97</v>
      </c>
      <c r="F13" s="7" t="s">
        <v>94</v>
      </c>
      <c r="G13" s="7" t="s">
        <v>8</v>
      </c>
      <c r="H13" s="7"/>
      <c r="I13" s="7"/>
      <c r="J13" s="87"/>
      <c r="K13" s="87"/>
      <c r="L13" s="87"/>
      <c r="M13" s="66" t="str">
        <f>IF(OR($F13="All Tracks",$F13=SelectedTrack),"Show","Hide")</f>
        <v>Show</v>
      </c>
    </row>
    <row r="14" spans="1:13" ht="76" x14ac:dyDescent="0.2">
      <c r="A14" s="7" t="s">
        <v>55</v>
      </c>
      <c r="B14" s="7" t="s">
        <v>91</v>
      </c>
      <c r="C14" s="7" t="s">
        <v>76</v>
      </c>
      <c r="D14" s="7" t="s">
        <v>177</v>
      </c>
      <c r="E14" s="7" t="s">
        <v>97</v>
      </c>
      <c r="F14" s="7" t="s">
        <v>94</v>
      </c>
      <c r="G14" s="7" t="s">
        <v>8</v>
      </c>
      <c r="H14" s="7"/>
      <c r="I14" s="7"/>
      <c r="J14" s="87"/>
      <c r="K14" s="87"/>
      <c r="L14" s="87"/>
      <c r="M14" s="66" t="str">
        <f>IF(OR($F14="All Tracks",$F14=SelectedTrack),"Show","Hide")</f>
        <v>Show</v>
      </c>
    </row>
    <row r="15" spans="1:13" ht="76" x14ac:dyDescent="0.2">
      <c r="A15" s="7" t="s">
        <v>55</v>
      </c>
      <c r="B15" s="7" t="s">
        <v>91</v>
      </c>
      <c r="C15" s="7" t="s">
        <v>76</v>
      </c>
      <c r="D15" s="7" t="s">
        <v>178</v>
      </c>
      <c r="E15" s="7" t="s">
        <v>97</v>
      </c>
      <c r="F15" s="7" t="s">
        <v>94</v>
      </c>
      <c r="G15" s="7" t="s">
        <v>8</v>
      </c>
      <c r="H15" s="7"/>
      <c r="I15" s="7"/>
      <c r="J15" s="87"/>
      <c r="K15" s="87"/>
      <c r="L15" s="87"/>
      <c r="M15" s="66" t="str">
        <f>IF(OR($F15="All Tracks",$F15=SelectedTrack),"Show","Hide")</f>
        <v>Show</v>
      </c>
    </row>
    <row r="16" spans="1:13" ht="38" x14ac:dyDescent="0.2">
      <c r="A16" s="7" t="s">
        <v>55</v>
      </c>
      <c r="B16" s="7"/>
      <c r="C16" s="7"/>
      <c r="D16" s="7"/>
      <c r="E16" s="7" t="s">
        <v>93</v>
      </c>
      <c r="F16" s="7" t="s">
        <v>94</v>
      </c>
      <c r="G16" s="7" t="s">
        <v>8</v>
      </c>
      <c r="H16" s="7"/>
      <c r="I16" s="87"/>
      <c r="J16" s="87"/>
      <c r="K16" s="87"/>
      <c r="L16" s="87"/>
      <c r="M16" s="66" t="str">
        <f>IF(OR($F16="All Tracks",$F16=SelectedTrack),"Show","Hide")</f>
        <v>Show</v>
      </c>
    </row>
    <row r="17" spans="1:13" ht="38" x14ac:dyDescent="0.2">
      <c r="A17" s="7" t="s">
        <v>56</v>
      </c>
      <c r="B17" s="7" t="s">
        <v>91</v>
      </c>
      <c r="C17" s="7" t="s">
        <v>65</v>
      </c>
      <c r="D17" s="7" t="s">
        <v>103</v>
      </c>
      <c r="E17" s="7" t="s">
        <v>93</v>
      </c>
      <c r="F17" s="7" t="s">
        <v>94</v>
      </c>
      <c r="G17" s="7" t="s">
        <v>8</v>
      </c>
      <c r="H17" s="7"/>
      <c r="I17" s="7"/>
      <c r="J17" s="87"/>
      <c r="K17" s="87"/>
      <c r="L17" s="87"/>
      <c r="M17" s="66" t="str">
        <f>IF(OR($F17="All Tracks",$F17=SelectedTrack),"Show","Hide")</f>
        <v>Show</v>
      </c>
    </row>
    <row r="18" spans="1:13" ht="38" x14ac:dyDescent="0.2">
      <c r="A18" s="7" t="s">
        <v>56</v>
      </c>
      <c r="B18" s="7" t="s">
        <v>91</v>
      </c>
      <c r="C18" s="7" t="s">
        <v>66</v>
      </c>
      <c r="D18" s="7" t="s">
        <v>95</v>
      </c>
      <c r="E18" s="7" t="s">
        <v>93</v>
      </c>
      <c r="F18" s="7" t="s">
        <v>94</v>
      </c>
      <c r="G18" s="7" t="s">
        <v>8</v>
      </c>
      <c r="H18" s="7"/>
      <c r="I18" s="87"/>
      <c r="J18" s="87"/>
      <c r="K18" s="87"/>
      <c r="L18" s="87"/>
      <c r="M18" s="66" t="str">
        <f>IF(OR($F18="All Tracks",$F18=SelectedTrack),"Show","Hide")</f>
        <v>Show</v>
      </c>
    </row>
    <row r="19" spans="1:13" ht="38" x14ac:dyDescent="0.2">
      <c r="A19" s="7" t="s">
        <v>56</v>
      </c>
      <c r="B19" s="7" t="s">
        <v>91</v>
      </c>
      <c r="C19" s="7" t="s">
        <v>69</v>
      </c>
      <c r="D19" s="7" t="s">
        <v>104</v>
      </c>
      <c r="E19" s="7" t="s">
        <v>93</v>
      </c>
      <c r="F19" s="7" t="s">
        <v>94</v>
      </c>
      <c r="G19" s="7" t="s">
        <v>8</v>
      </c>
      <c r="H19" s="7"/>
      <c r="I19" s="7"/>
      <c r="J19" s="87"/>
      <c r="K19" s="87"/>
      <c r="L19" s="87"/>
      <c r="M19" s="66" t="str">
        <f>IF(OR($F19="All Tracks",$F19=SelectedTrack),"Show","Hide")</f>
        <v>Show</v>
      </c>
    </row>
    <row r="20" spans="1:13" ht="38" x14ac:dyDescent="0.2">
      <c r="A20" s="7" t="s">
        <v>56</v>
      </c>
      <c r="B20" s="7" t="s">
        <v>91</v>
      </c>
      <c r="C20" s="7" t="s">
        <v>70</v>
      </c>
      <c r="D20" s="7" t="s">
        <v>105</v>
      </c>
      <c r="E20" s="7" t="s">
        <v>97</v>
      </c>
      <c r="F20" s="7" t="s">
        <v>94</v>
      </c>
      <c r="G20" s="7" t="s">
        <v>8</v>
      </c>
      <c r="H20" s="7"/>
      <c r="I20" s="7"/>
      <c r="J20" s="87"/>
      <c r="K20" s="87"/>
      <c r="L20" s="87"/>
      <c r="M20" s="66" t="str">
        <f>IF(OR($F20="All Tracks",$F20=SelectedTrack),"Show","Hide")</f>
        <v>Show</v>
      </c>
    </row>
    <row r="21" spans="1:13" ht="57" x14ac:dyDescent="0.2">
      <c r="A21" s="7" t="s">
        <v>56</v>
      </c>
      <c r="B21" s="7" t="s">
        <v>91</v>
      </c>
      <c r="C21" s="7" t="s">
        <v>67</v>
      </c>
      <c r="D21" s="7" t="s">
        <v>106</v>
      </c>
      <c r="E21" s="7" t="s">
        <v>97</v>
      </c>
      <c r="F21" s="7" t="s">
        <v>94</v>
      </c>
      <c r="G21" s="7" t="s">
        <v>8</v>
      </c>
      <c r="H21" s="7"/>
      <c r="I21" s="7"/>
      <c r="J21" s="87"/>
      <c r="K21" s="87"/>
      <c r="L21" s="87"/>
      <c r="M21" s="66" t="str">
        <f>IF(OR($F21="All Tracks",$F21=SelectedTrack),"Show","Hide")</f>
        <v>Show</v>
      </c>
    </row>
    <row r="22" spans="1:13" ht="38" x14ac:dyDescent="0.2">
      <c r="A22" s="7" t="s">
        <v>56</v>
      </c>
      <c r="B22" s="7" t="s">
        <v>91</v>
      </c>
      <c r="C22" s="7" t="s">
        <v>71</v>
      </c>
      <c r="D22" s="7" t="s">
        <v>107</v>
      </c>
      <c r="E22" s="7" t="s">
        <v>97</v>
      </c>
      <c r="F22" s="7" t="s">
        <v>94</v>
      </c>
      <c r="G22" s="7" t="s">
        <v>8</v>
      </c>
      <c r="H22" s="7"/>
      <c r="I22" s="7"/>
      <c r="J22" s="87"/>
      <c r="K22" s="87"/>
      <c r="L22" s="87"/>
      <c r="M22" s="66" t="str">
        <f>IF(OR($F22="All Tracks",$F22=SelectedTrack),"Show","Hide")</f>
        <v>Show</v>
      </c>
    </row>
    <row r="23" spans="1:13" ht="19" x14ac:dyDescent="0.2">
      <c r="A23" s="7" t="s">
        <v>56</v>
      </c>
      <c r="B23" s="7" t="s">
        <v>91</v>
      </c>
      <c r="C23" s="7" t="s">
        <v>71</v>
      </c>
      <c r="D23" s="7" t="s">
        <v>137</v>
      </c>
      <c r="E23" s="7" t="s">
        <v>97</v>
      </c>
      <c r="F23" s="7" t="s">
        <v>138</v>
      </c>
      <c r="G23" s="7" t="s">
        <v>8</v>
      </c>
      <c r="H23" s="7"/>
      <c r="I23" s="7"/>
      <c r="J23" s="87"/>
      <c r="K23" s="87"/>
      <c r="L23" s="87"/>
      <c r="M23" s="66" t="str">
        <f>IF(OR($F23="All Tracks",$F23=SelectedTrack),"Show","Hide")</f>
        <v>Hide</v>
      </c>
    </row>
    <row r="24" spans="1:13" ht="45" x14ac:dyDescent="0.2">
      <c r="A24" s="7" t="s">
        <v>56</v>
      </c>
      <c r="B24" s="7" t="s">
        <v>91</v>
      </c>
      <c r="C24" s="7" t="s">
        <v>67</v>
      </c>
      <c r="D24" s="7" t="s">
        <v>149</v>
      </c>
      <c r="E24" s="7" t="s">
        <v>97</v>
      </c>
      <c r="F24" s="7" t="s">
        <v>150</v>
      </c>
      <c r="G24" s="7" t="s">
        <v>8</v>
      </c>
      <c r="H24" s="7"/>
      <c r="I24" s="7"/>
      <c r="J24" s="87"/>
      <c r="K24" s="87"/>
      <c r="L24" s="87"/>
      <c r="M24" s="66" t="str">
        <f>IF(OR($F24="All Tracks",$F24=SelectedTrack),"Show","Hide")</f>
        <v>Hide</v>
      </c>
    </row>
    <row r="25" spans="1:13" ht="30" x14ac:dyDescent="0.2">
      <c r="A25" s="7" t="s">
        <v>56</v>
      </c>
      <c r="B25" s="7" t="s">
        <v>91</v>
      </c>
      <c r="C25" s="7" t="s">
        <v>70</v>
      </c>
      <c r="D25" s="7" t="s">
        <v>156</v>
      </c>
      <c r="E25" s="7" t="s">
        <v>97</v>
      </c>
      <c r="F25" s="7" t="s">
        <v>154</v>
      </c>
      <c r="G25" s="7" t="s">
        <v>8</v>
      </c>
      <c r="H25" s="7"/>
      <c r="I25" s="7"/>
      <c r="J25" s="87"/>
      <c r="K25" s="87"/>
      <c r="L25" s="87"/>
      <c r="M25" s="66" t="str">
        <f>IF(OR($F25="All Tracks",$F25=SelectedTrack),"Show","Hide")</f>
        <v>Hide</v>
      </c>
    </row>
    <row r="26" spans="1:13" ht="45" x14ac:dyDescent="0.2">
      <c r="A26" s="7" t="s">
        <v>56</v>
      </c>
      <c r="B26" s="7" t="s">
        <v>91</v>
      </c>
      <c r="C26" s="7" t="s">
        <v>67</v>
      </c>
      <c r="D26" s="7" t="s">
        <v>157</v>
      </c>
      <c r="E26" s="7" t="s">
        <v>97</v>
      </c>
      <c r="F26" s="7" t="s">
        <v>154</v>
      </c>
      <c r="G26" s="7" t="s">
        <v>8</v>
      </c>
      <c r="H26" s="7"/>
      <c r="I26" s="7"/>
      <c r="J26" s="87"/>
      <c r="K26" s="87"/>
      <c r="L26" s="87"/>
      <c r="M26" s="66" t="str">
        <f>IF(OR($F26="All Tracks",$F26=SelectedTrack),"Show","Hide")</f>
        <v>Hide</v>
      </c>
    </row>
    <row r="27" spans="1:13" ht="57" x14ac:dyDescent="0.2">
      <c r="A27" s="7" t="s">
        <v>56</v>
      </c>
      <c r="B27" s="7" t="s">
        <v>91</v>
      </c>
      <c r="C27" s="7" t="s">
        <v>76</v>
      </c>
      <c r="D27" s="7" t="s">
        <v>179</v>
      </c>
      <c r="E27" s="7" t="s">
        <v>97</v>
      </c>
      <c r="F27" s="7" t="s">
        <v>94</v>
      </c>
      <c r="G27" s="7" t="s">
        <v>8</v>
      </c>
      <c r="H27" s="7"/>
      <c r="I27" s="7"/>
      <c r="J27" s="87"/>
      <c r="K27" s="87"/>
      <c r="L27" s="87"/>
      <c r="M27" s="66" t="str">
        <f>IF(OR($F27="All Tracks",$F27=SelectedTrack),"Show","Hide")</f>
        <v>Show</v>
      </c>
    </row>
    <row r="28" spans="1:13" ht="38" x14ac:dyDescent="0.2">
      <c r="A28" s="7" t="s">
        <v>56</v>
      </c>
      <c r="B28" s="7" t="s">
        <v>91</v>
      </c>
      <c r="C28" s="7" t="s">
        <v>76</v>
      </c>
      <c r="D28" s="7" t="s">
        <v>180</v>
      </c>
      <c r="E28" s="7" t="s">
        <v>97</v>
      </c>
      <c r="F28" s="7" t="s">
        <v>94</v>
      </c>
      <c r="G28" s="7" t="s">
        <v>8</v>
      </c>
      <c r="H28" s="7"/>
      <c r="I28" s="7"/>
      <c r="J28" s="87"/>
      <c r="K28" s="87"/>
      <c r="L28" s="87"/>
      <c r="M28" s="66" t="str">
        <f>IF(OR($F28="All Tracks",$F28=SelectedTrack),"Show","Hide")</f>
        <v>Show</v>
      </c>
    </row>
    <row r="29" spans="1:13" ht="76" x14ac:dyDescent="0.2">
      <c r="A29" s="7" t="s">
        <v>56</v>
      </c>
      <c r="B29" s="7" t="s">
        <v>91</v>
      </c>
      <c r="C29" s="7" t="s">
        <v>76</v>
      </c>
      <c r="D29" s="7" t="s">
        <v>181</v>
      </c>
      <c r="E29" s="7" t="s">
        <v>97</v>
      </c>
      <c r="F29" s="7" t="s">
        <v>94</v>
      </c>
      <c r="G29" s="7" t="s">
        <v>8</v>
      </c>
      <c r="H29" s="7"/>
      <c r="I29" s="7"/>
      <c r="J29" s="87"/>
      <c r="K29" s="87"/>
      <c r="L29" s="87"/>
      <c r="M29" s="66" t="str">
        <f>IF(OR($F29="All Tracks",$F29=SelectedTrack),"Show","Hide")</f>
        <v>Show</v>
      </c>
    </row>
    <row r="30" spans="1:13" ht="57" x14ac:dyDescent="0.2">
      <c r="A30" s="7" t="s">
        <v>57</v>
      </c>
      <c r="B30" s="7" t="s">
        <v>108</v>
      </c>
      <c r="C30" s="7" t="s">
        <v>69</v>
      </c>
      <c r="D30" s="7" t="s">
        <v>109</v>
      </c>
      <c r="E30" s="7" t="s">
        <v>93</v>
      </c>
      <c r="F30" s="7" t="s">
        <v>94</v>
      </c>
      <c r="G30" s="7" t="s">
        <v>8</v>
      </c>
      <c r="H30" s="7" t="s">
        <v>110</v>
      </c>
      <c r="I30" s="7"/>
      <c r="J30" s="87" t="s">
        <v>111</v>
      </c>
      <c r="K30" s="87"/>
      <c r="L30" s="87"/>
      <c r="M30" s="66" t="str">
        <f>IF(OR($F30="All Tracks",$F30=SelectedTrack),"Show","Hide")</f>
        <v>Show</v>
      </c>
    </row>
    <row r="31" spans="1:13" ht="38" x14ac:dyDescent="0.2">
      <c r="A31" s="7" t="s">
        <v>57</v>
      </c>
      <c r="B31" s="7" t="s">
        <v>91</v>
      </c>
      <c r="C31" s="7" t="s">
        <v>66</v>
      </c>
      <c r="D31" s="7" t="s">
        <v>112</v>
      </c>
      <c r="E31" s="7" t="s">
        <v>93</v>
      </c>
      <c r="F31" s="7" t="s">
        <v>94</v>
      </c>
      <c r="G31" s="7" t="s">
        <v>8</v>
      </c>
      <c r="H31" s="7"/>
      <c r="I31" s="87"/>
      <c r="J31" s="87"/>
      <c r="K31" s="87"/>
      <c r="L31" s="87"/>
      <c r="M31" s="66" t="str">
        <f>IF(OR($F31="All Tracks",$F31=SelectedTrack),"Show","Hide")</f>
        <v>Show</v>
      </c>
    </row>
    <row r="32" spans="1:13" ht="57" x14ac:dyDescent="0.2">
      <c r="A32" s="7" t="s">
        <v>57</v>
      </c>
      <c r="B32" s="7" t="s">
        <v>113</v>
      </c>
      <c r="C32" s="7" t="s">
        <v>72</v>
      </c>
      <c r="D32" s="7" t="s">
        <v>114</v>
      </c>
      <c r="E32" s="7" t="s">
        <v>93</v>
      </c>
      <c r="F32" s="7" t="s">
        <v>94</v>
      </c>
      <c r="G32" s="7" t="s">
        <v>8</v>
      </c>
      <c r="H32" s="7" t="s">
        <v>115</v>
      </c>
      <c r="I32" s="7"/>
      <c r="J32" s="87" t="s">
        <v>116</v>
      </c>
      <c r="K32" s="87"/>
      <c r="L32" s="87"/>
      <c r="M32" s="66" t="str">
        <f>IF(OR($F32="All Tracks",$F32=SelectedTrack),"Show","Hide")</f>
        <v>Show</v>
      </c>
    </row>
    <row r="33" spans="1:13" ht="38" x14ac:dyDescent="0.2">
      <c r="A33" s="7" t="s">
        <v>57</v>
      </c>
      <c r="B33" s="7" t="s">
        <v>91</v>
      </c>
      <c r="C33" s="7" t="s">
        <v>70</v>
      </c>
      <c r="D33" s="7" t="s">
        <v>118</v>
      </c>
      <c r="E33" s="7" t="s">
        <v>97</v>
      </c>
      <c r="F33" s="7" t="s">
        <v>94</v>
      </c>
      <c r="G33" s="7" t="s">
        <v>8</v>
      </c>
      <c r="H33" s="7"/>
      <c r="I33" s="7"/>
      <c r="J33" s="87"/>
      <c r="K33" s="87"/>
      <c r="L33" s="87"/>
      <c r="M33" s="66" t="str">
        <f>IF(OR($F33="All Tracks",$F33=SelectedTrack),"Show","Hide")</f>
        <v>Show</v>
      </c>
    </row>
    <row r="34" spans="1:13" ht="38" x14ac:dyDescent="0.2">
      <c r="A34" s="7" t="s">
        <v>57</v>
      </c>
      <c r="B34" s="7" t="s">
        <v>91</v>
      </c>
      <c r="C34" s="7" t="s">
        <v>71</v>
      </c>
      <c r="D34" s="7" t="s">
        <v>119</v>
      </c>
      <c r="E34" s="7" t="s">
        <v>97</v>
      </c>
      <c r="F34" s="7" t="s">
        <v>94</v>
      </c>
      <c r="G34" s="7" t="s">
        <v>8</v>
      </c>
      <c r="H34" s="7"/>
      <c r="I34" s="7"/>
      <c r="J34" s="87"/>
      <c r="K34" s="87"/>
      <c r="L34" s="87"/>
      <c r="M34" s="66" t="str">
        <f>IF(OR($F34="All Tracks",$F34=SelectedTrack),"Show","Hide")</f>
        <v>Show</v>
      </c>
    </row>
    <row r="35" spans="1:13" ht="19" x14ac:dyDescent="0.2">
      <c r="A35" s="7" t="s">
        <v>57</v>
      </c>
      <c r="B35" s="7" t="s">
        <v>91</v>
      </c>
      <c r="C35" s="7" t="s">
        <v>68</v>
      </c>
      <c r="D35" s="7" t="s">
        <v>139</v>
      </c>
      <c r="E35" s="7" t="s">
        <v>93</v>
      </c>
      <c r="F35" s="7" t="s">
        <v>138</v>
      </c>
      <c r="G35" s="7" t="s">
        <v>8</v>
      </c>
      <c r="H35" s="7"/>
      <c r="I35" s="7"/>
      <c r="J35" s="87"/>
      <c r="K35" s="87"/>
      <c r="L35" s="87"/>
      <c r="M35" s="66" t="str">
        <f>IF(OR($F35="All Tracks",$F35=SelectedTrack),"Show","Hide")</f>
        <v>Hide</v>
      </c>
    </row>
    <row r="36" spans="1:13" ht="19" x14ac:dyDescent="0.2">
      <c r="A36" s="7" t="s">
        <v>57</v>
      </c>
      <c r="B36" s="7" t="s">
        <v>91</v>
      </c>
      <c r="C36" s="7" t="s">
        <v>68</v>
      </c>
      <c r="D36" s="7" t="s">
        <v>139</v>
      </c>
      <c r="E36" s="7" t="s">
        <v>97</v>
      </c>
      <c r="F36" s="7" t="s">
        <v>141</v>
      </c>
      <c r="G36" s="7" t="s">
        <v>8</v>
      </c>
      <c r="H36" s="7"/>
      <c r="I36" s="7"/>
      <c r="J36" s="87"/>
      <c r="K36" s="87"/>
      <c r="L36" s="87"/>
      <c r="M36" s="66" t="str">
        <f>IF(OR($F36="All Tracks",$F36=SelectedTrack),"Show","Hide")</f>
        <v>Hide</v>
      </c>
    </row>
    <row r="37" spans="1:13" ht="30" x14ac:dyDescent="0.2">
      <c r="A37" s="7" t="s">
        <v>57</v>
      </c>
      <c r="B37" s="7" t="s">
        <v>91</v>
      </c>
      <c r="C37" s="7" t="s">
        <v>71</v>
      </c>
      <c r="D37" s="7" t="s">
        <v>144</v>
      </c>
      <c r="E37" s="7" t="s">
        <v>93</v>
      </c>
      <c r="F37" s="7" t="s">
        <v>145</v>
      </c>
      <c r="G37" s="7" t="s">
        <v>8</v>
      </c>
      <c r="H37" s="7"/>
      <c r="I37" s="7"/>
      <c r="J37" s="87"/>
      <c r="K37" s="87"/>
      <c r="L37" s="87"/>
      <c r="M37" s="66" t="str">
        <f>IF(OR($F37="All Tracks",$F37=SelectedTrack),"Show","Hide")</f>
        <v>Hide</v>
      </c>
    </row>
    <row r="38" spans="1:13" ht="30" x14ac:dyDescent="0.2">
      <c r="A38" s="7" t="s">
        <v>57</v>
      </c>
      <c r="B38" s="7" t="s">
        <v>91</v>
      </c>
      <c r="C38" s="7" t="s">
        <v>68</v>
      </c>
      <c r="D38" s="7" t="s">
        <v>146</v>
      </c>
      <c r="E38" s="7" t="s">
        <v>97</v>
      </c>
      <c r="F38" s="7" t="s">
        <v>145</v>
      </c>
      <c r="G38" s="7" t="s">
        <v>8</v>
      </c>
      <c r="H38" s="7"/>
      <c r="I38" s="7"/>
      <c r="J38" s="87"/>
      <c r="K38" s="87"/>
      <c r="L38" s="87"/>
      <c r="M38" s="66" t="str">
        <f>IF(OR($F38="All Tracks",$F38=SelectedTrack),"Show","Hide")</f>
        <v>Hide</v>
      </c>
    </row>
    <row r="39" spans="1:13" ht="30" x14ac:dyDescent="0.2">
      <c r="A39" s="7" t="s">
        <v>57</v>
      </c>
      <c r="B39" s="7" t="s">
        <v>91</v>
      </c>
      <c r="C39" s="7" t="s">
        <v>71</v>
      </c>
      <c r="D39" s="7" t="s">
        <v>151</v>
      </c>
      <c r="E39" s="7" t="s">
        <v>97</v>
      </c>
      <c r="F39" s="7" t="s">
        <v>150</v>
      </c>
      <c r="G39" s="7" t="s">
        <v>8</v>
      </c>
      <c r="H39" s="7"/>
      <c r="I39" s="7"/>
      <c r="J39" s="87"/>
      <c r="K39" s="87"/>
      <c r="L39" s="87"/>
      <c r="M39" s="66" t="str">
        <f>IF(OR($F39="All Tracks",$F39=SelectedTrack),"Show","Hide")</f>
        <v>Hide</v>
      </c>
    </row>
    <row r="40" spans="1:13" ht="45" x14ac:dyDescent="0.2">
      <c r="A40" s="7" t="s">
        <v>57</v>
      </c>
      <c r="B40" s="7" t="s">
        <v>91</v>
      </c>
      <c r="C40" s="7" t="s">
        <v>67</v>
      </c>
      <c r="D40" s="7" t="s">
        <v>158</v>
      </c>
      <c r="E40" s="7" t="s">
        <v>97</v>
      </c>
      <c r="F40" s="7" t="s">
        <v>154</v>
      </c>
      <c r="G40" s="7" t="s">
        <v>8</v>
      </c>
      <c r="H40" s="7"/>
      <c r="I40" s="7"/>
      <c r="J40" s="87"/>
      <c r="K40" s="87"/>
      <c r="L40" s="87"/>
      <c r="M40" s="66" t="str">
        <f>IF(OR($F40="All Tracks",$F40=SelectedTrack),"Show","Hide")</f>
        <v>Hide</v>
      </c>
    </row>
    <row r="41" spans="1:13" ht="45" x14ac:dyDescent="0.2">
      <c r="A41" s="7" t="s">
        <v>57</v>
      </c>
      <c r="B41" s="7" t="s">
        <v>91</v>
      </c>
      <c r="C41" s="7" t="s">
        <v>67</v>
      </c>
      <c r="D41" s="7" t="s">
        <v>159</v>
      </c>
      <c r="E41" s="7" t="s">
        <v>97</v>
      </c>
      <c r="F41" s="7" t="s">
        <v>154</v>
      </c>
      <c r="G41" s="7" t="s">
        <v>8</v>
      </c>
      <c r="H41" s="7"/>
      <c r="I41" s="7"/>
      <c r="J41" s="87"/>
      <c r="K41" s="87"/>
      <c r="L41" s="87"/>
      <c r="M41" s="66" t="str">
        <f>IF(OR($F41="All Tracks",$F41=SelectedTrack),"Show","Hide")</f>
        <v>Hide</v>
      </c>
    </row>
    <row r="42" spans="1:13" ht="57" x14ac:dyDescent="0.2">
      <c r="A42" s="7" t="s">
        <v>57</v>
      </c>
      <c r="B42" s="7" t="s">
        <v>91</v>
      </c>
      <c r="C42" s="7" t="s">
        <v>76</v>
      </c>
      <c r="D42" s="7" t="s">
        <v>182</v>
      </c>
      <c r="E42" s="7" t="s">
        <v>97</v>
      </c>
      <c r="F42" s="7" t="s">
        <v>94</v>
      </c>
      <c r="G42" s="7" t="s">
        <v>8</v>
      </c>
      <c r="H42" s="7"/>
      <c r="I42" s="7"/>
      <c r="J42" s="87"/>
      <c r="K42" s="87"/>
      <c r="L42" s="87"/>
      <c r="M42" s="66" t="str">
        <f>IF(OR($F42="All Tracks",$F42=SelectedTrack),"Show","Hide")</f>
        <v>Show</v>
      </c>
    </row>
    <row r="43" spans="1:13" ht="38" x14ac:dyDescent="0.2">
      <c r="A43" s="7" t="s">
        <v>58</v>
      </c>
      <c r="B43" s="7" t="s">
        <v>91</v>
      </c>
      <c r="C43" s="7" t="s">
        <v>66</v>
      </c>
      <c r="D43" s="7" t="s">
        <v>117</v>
      </c>
      <c r="E43" s="7" t="s">
        <v>93</v>
      </c>
      <c r="F43" s="7" t="s">
        <v>94</v>
      </c>
      <c r="G43" s="7" t="s">
        <v>8</v>
      </c>
      <c r="H43" s="7"/>
      <c r="I43" s="87"/>
      <c r="J43" s="87"/>
      <c r="K43" s="87"/>
      <c r="L43" s="87"/>
      <c r="M43" s="66" t="str">
        <f>IF(OR($F43="All Tracks",$F43=SelectedTrack),"Show","Hide")</f>
        <v>Show</v>
      </c>
    </row>
    <row r="44" spans="1:13" ht="38" x14ac:dyDescent="0.2">
      <c r="A44" s="7" t="s">
        <v>58</v>
      </c>
      <c r="B44" s="7" t="s">
        <v>91</v>
      </c>
      <c r="C44" s="7" t="s">
        <v>73</v>
      </c>
      <c r="D44" s="7" t="s">
        <v>120</v>
      </c>
      <c r="E44" s="7" t="s">
        <v>93</v>
      </c>
      <c r="F44" s="7" t="s">
        <v>94</v>
      </c>
      <c r="G44" s="7" t="s">
        <v>8</v>
      </c>
      <c r="H44" s="7"/>
      <c r="I44" s="7"/>
      <c r="J44" s="87"/>
      <c r="K44" s="87"/>
      <c r="L44" s="87"/>
      <c r="M44" s="66" t="str">
        <f>IF(OR($F44="All Tracks",$F44=SelectedTrack),"Show","Hide")</f>
        <v>Show</v>
      </c>
    </row>
    <row r="45" spans="1:13" ht="38" x14ac:dyDescent="0.2">
      <c r="A45" s="7" t="s">
        <v>58</v>
      </c>
      <c r="B45" s="7" t="s">
        <v>91</v>
      </c>
      <c r="C45" s="7" t="s">
        <v>74</v>
      </c>
      <c r="D45" s="7" t="s">
        <v>121</v>
      </c>
      <c r="E45" s="7" t="s">
        <v>97</v>
      </c>
      <c r="F45" s="7" t="s">
        <v>94</v>
      </c>
      <c r="G45" s="7" t="s">
        <v>8</v>
      </c>
      <c r="H45" s="7"/>
      <c r="I45" s="7"/>
      <c r="J45" s="87"/>
      <c r="K45" s="87"/>
      <c r="L45" s="87"/>
      <c r="M45" s="66" t="str">
        <f>IF(OR($F45="All Tracks",$F45=SelectedTrack),"Show","Hide")</f>
        <v>Show</v>
      </c>
    </row>
    <row r="46" spans="1:13" ht="57" x14ac:dyDescent="0.2">
      <c r="A46" s="7" t="s">
        <v>58</v>
      </c>
      <c r="B46" s="7" t="s">
        <v>91</v>
      </c>
      <c r="C46" s="7" t="s">
        <v>67</v>
      </c>
      <c r="D46" s="7" t="s">
        <v>122</v>
      </c>
      <c r="E46" s="7" t="s">
        <v>97</v>
      </c>
      <c r="F46" s="7" t="s">
        <v>94</v>
      </c>
      <c r="G46" s="7" t="s">
        <v>8</v>
      </c>
      <c r="H46" s="7"/>
      <c r="I46" s="7"/>
      <c r="J46" s="87"/>
      <c r="K46" s="87"/>
      <c r="L46" s="87"/>
      <c r="M46" s="66" t="str">
        <f>IF(OR($F46="All Tracks",$F46=SelectedTrack),"Show","Hide")</f>
        <v>Show</v>
      </c>
    </row>
    <row r="47" spans="1:13" ht="38" x14ac:dyDescent="0.2">
      <c r="A47" s="7" t="s">
        <v>58</v>
      </c>
      <c r="B47" s="7" t="s">
        <v>91</v>
      </c>
      <c r="C47" s="7" t="s">
        <v>70</v>
      </c>
      <c r="D47" s="7" t="s">
        <v>123</v>
      </c>
      <c r="E47" s="7" t="s">
        <v>97</v>
      </c>
      <c r="F47" s="7" t="s">
        <v>94</v>
      </c>
      <c r="G47" s="7" t="s">
        <v>8</v>
      </c>
      <c r="H47" s="7"/>
      <c r="I47" s="7"/>
      <c r="J47" s="87"/>
      <c r="K47" s="87"/>
      <c r="L47" s="87"/>
      <c r="M47" s="66" t="str">
        <f>IF(OR($F47="All Tracks",$F47=SelectedTrack),"Show","Hide")</f>
        <v>Show</v>
      </c>
    </row>
    <row r="48" spans="1:13" ht="19" x14ac:dyDescent="0.2">
      <c r="A48" s="7" t="s">
        <v>58</v>
      </c>
      <c r="B48" s="7" t="s">
        <v>91</v>
      </c>
      <c r="C48" s="7" t="s">
        <v>68</v>
      </c>
      <c r="D48" s="7" t="s">
        <v>135</v>
      </c>
      <c r="E48" s="7" t="s">
        <v>97</v>
      </c>
      <c r="F48" s="7" t="s">
        <v>136</v>
      </c>
      <c r="G48" s="7" t="s">
        <v>8</v>
      </c>
      <c r="H48" s="7"/>
      <c r="I48" s="7"/>
      <c r="J48" s="87"/>
      <c r="K48" s="87"/>
      <c r="L48" s="87"/>
      <c r="M48" s="66" t="str">
        <f>IF(OR($F48="All Tracks",$F48=SelectedTrack),"Show","Hide")</f>
        <v>Hide</v>
      </c>
    </row>
    <row r="49" spans="1:13" ht="19" x14ac:dyDescent="0.2">
      <c r="A49" s="7" t="s">
        <v>58</v>
      </c>
      <c r="B49" s="7" t="s">
        <v>91</v>
      </c>
      <c r="C49" s="7" t="s">
        <v>68</v>
      </c>
      <c r="D49" s="7" t="s">
        <v>135</v>
      </c>
      <c r="E49" s="7" t="s">
        <v>97</v>
      </c>
      <c r="F49" s="7" t="s">
        <v>138</v>
      </c>
      <c r="G49" s="7" t="s">
        <v>8</v>
      </c>
      <c r="H49" s="7"/>
      <c r="I49" s="7"/>
      <c r="J49" s="87"/>
      <c r="K49" s="87"/>
      <c r="L49" s="87"/>
      <c r="M49" s="66" t="str">
        <f>IF(OR($F49="All Tracks",$F49=SelectedTrack),"Show","Hide")</f>
        <v>Hide</v>
      </c>
    </row>
    <row r="50" spans="1:13" ht="19" x14ac:dyDescent="0.2">
      <c r="A50" s="7" t="s">
        <v>58</v>
      </c>
      <c r="B50" s="7" t="s">
        <v>91</v>
      </c>
      <c r="C50" s="7" t="s">
        <v>71</v>
      </c>
      <c r="D50" s="7" t="s">
        <v>140</v>
      </c>
      <c r="E50" s="7" t="s">
        <v>97</v>
      </c>
      <c r="F50" s="7" t="s">
        <v>138</v>
      </c>
      <c r="G50" s="7" t="s">
        <v>8</v>
      </c>
      <c r="H50" s="7"/>
      <c r="I50" s="7"/>
      <c r="J50" s="87"/>
      <c r="K50" s="87"/>
      <c r="L50" s="87"/>
      <c r="M50" s="66" t="str">
        <f>IF(OR($F50="All Tracks",$F50=SelectedTrack),"Show","Hide")</f>
        <v>Hide</v>
      </c>
    </row>
    <row r="51" spans="1:13" ht="19" x14ac:dyDescent="0.2">
      <c r="A51" s="7" t="s">
        <v>58</v>
      </c>
      <c r="B51" s="7" t="s">
        <v>91</v>
      </c>
      <c r="C51" s="7" t="s">
        <v>71</v>
      </c>
      <c r="D51" s="7" t="s">
        <v>142</v>
      </c>
      <c r="E51" s="7" t="s">
        <v>97</v>
      </c>
      <c r="F51" s="7" t="s">
        <v>141</v>
      </c>
      <c r="G51" s="7" t="s">
        <v>8</v>
      </c>
      <c r="H51" s="7"/>
      <c r="I51" s="7"/>
      <c r="J51" s="87"/>
      <c r="K51" s="87"/>
      <c r="L51" s="87"/>
      <c r="M51" s="66" t="str">
        <f>IF(OR($F51="All Tracks",$F51=SelectedTrack),"Show","Hide")</f>
        <v>Hide</v>
      </c>
    </row>
    <row r="52" spans="1:13" ht="30" x14ac:dyDescent="0.2">
      <c r="A52" s="7" t="s">
        <v>58</v>
      </c>
      <c r="B52" s="7" t="s">
        <v>91</v>
      </c>
      <c r="C52" s="7" t="s">
        <v>70</v>
      </c>
      <c r="D52" s="7" t="s">
        <v>143</v>
      </c>
      <c r="E52" s="7" t="s">
        <v>97</v>
      </c>
      <c r="F52" s="7" t="s">
        <v>141</v>
      </c>
      <c r="G52" s="7" t="s">
        <v>8</v>
      </c>
      <c r="H52" s="7"/>
      <c r="I52" s="7"/>
      <c r="J52" s="87"/>
      <c r="K52" s="87"/>
      <c r="L52" s="87"/>
      <c r="M52" s="66" t="str">
        <f>IF(OR($F52="All Tracks",$F52=SelectedTrack),"Show","Hide")</f>
        <v>Hide</v>
      </c>
    </row>
    <row r="53" spans="1:13" ht="30" x14ac:dyDescent="0.2">
      <c r="A53" s="7" t="s">
        <v>58</v>
      </c>
      <c r="B53" s="7" t="s">
        <v>91</v>
      </c>
      <c r="C53" s="7" t="s">
        <v>71</v>
      </c>
      <c r="D53" s="7" t="s">
        <v>147</v>
      </c>
      <c r="E53" s="7" t="s">
        <v>97</v>
      </c>
      <c r="F53" s="7" t="s">
        <v>145</v>
      </c>
      <c r="G53" s="7" t="s">
        <v>8</v>
      </c>
      <c r="H53" s="7"/>
      <c r="I53" s="7"/>
      <c r="J53" s="87"/>
      <c r="K53" s="87"/>
      <c r="L53" s="87"/>
      <c r="M53" s="66" t="str">
        <f>IF(OR($F53="All Tracks",$F53=SelectedTrack),"Show","Hide")</f>
        <v>Hide</v>
      </c>
    </row>
    <row r="54" spans="1:13" ht="30" x14ac:dyDescent="0.2">
      <c r="A54" s="7" t="s">
        <v>58</v>
      </c>
      <c r="B54" s="7" t="s">
        <v>91</v>
      </c>
      <c r="C54" s="7" t="s">
        <v>68</v>
      </c>
      <c r="D54" s="7" t="s">
        <v>152</v>
      </c>
      <c r="E54" s="7" t="s">
        <v>97</v>
      </c>
      <c r="F54" s="7" t="s">
        <v>150</v>
      </c>
      <c r="G54" s="7" t="s">
        <v>8</v>
      </c>
      <c r="H54" s="7"/>
      <c r="I54" s="7"/>
      <c r="J54" s="87"/>
      <c r="K54" s="87"/>
      <c r="L54" s="87"/>
      <c r="M54" s="66" t="str">
        <f>IF(OR($F54="All Tracks",$F54=SelectedTrack),"Show","Hide")</f>
        <v>Hide</v>
      </c>
    </row>
    <row r="55" spans="1:13" ht="45" x14ac:dyDescent="0.2">
      <c r="A55" s="7" t="s">
        <v>58</v>
      </c>
      <c r="B55" s="7" t="s">
        <v>91</v>
      </c>
      <c r="C55" s="7" t="s">
        <v>67</v>
      </c>
      <c r="D55" s="7" t="s">
        <v>160</v>
      </c>
      <c r="E55" s="7" t="s">
        <v>97</v>
      </c>
      <c r="F55" s="7" t="s">
        <v>154</v>
      </c>
      <c r="G55" s="7" t="s">
        <v>8</v>
      </c>
      <c r="H55" s="7"/>
      <c r="I55" s="7"/>
      <c r="J55" s="87"/>
      <c r="K55" s="87"/>
      <c r="L55" s="87"/>
      <c r="M55" s="66" t="str">
        <f>IF(OR($F55="All Tracks",$F55=SelectedTrack),"Show","Hide")</f>
        <v>Hide</v>
      </c>
    </row>
    <row r="56" spans="1:13" ht="19" x14ac:dyDescent="0.2">
      <c r="A56" s="7" t="s">
        <v>58</v>
      </c>
      <c r="B56" s="7" t="s">
        <v>91</v>
      </c>
      <c r="C56" s="7" t="s">
        <v>68</v>
      </c>
      <c r="D56" s="7" t="s">
        <v>152</v>
      </c>
      <c r="E56" s="7" t="s">
        <v>97</v>
      </c>
      <c r="F56" s="7" t="s">
        <v>154</v>
      </c>
      <c r="G56" s="7" t="s">
        <v>8</v>
      </c>
      <c r="H56" s="7"/>
      <c r="I56" s="7"/>
      <c r="J56" s="87"/>
      <c r="K56" s="87"/>
      <c r="L56" s="87"/>
      <c r="M56" s="66" t="str">
        <f>IF(OR($F56="All Tracks",$F56=SelectedTrack),"Show","Hide")</f>
        <v>Hide</v>
      </c>
    </row>
    <row r="57" spans="1:13" ht="57" x14ac:dyDescent="0.2">
      <c r="A57" s="7" t="s">
        <v>58</v>
      </c>
      <c r="B57" s="7" t="s">
        <v>91</v>
      </c>
      <c r="C57" s="7" t="s">
        <v>76</v>
      </c>
      <c r="D57" s="7" t="s">
        <v>182</v>
      </c>
      <c r="E57" s="7" t="s">
        <v>97</v>
      </c>
      <c r="F57" s="7" t="s">
        <v>94</v>
      </c>
      <c r="G57" s="7" t="s">
        <v>8</v>
      </c>
      <c r="H57" s="7"/>
      <c r="I57" s="7"/>
      <c r="J57" s="87"/>
      <c r="K57" s="87"/>
      <c r="L57" s="87"/>
      <c r="M57" s="66" t="str">
        <f>IF(OR($F57="All Tracks",$F57=SelectedTrack),"Show","Hide")</f>
        <v>Show</v>
      </c>
    </row>
    <row r="58" spans="1:13" ht="57" x14ac:dyDescent="0.2">
      <c r="A58" s="7" t="s">
        <v>59</v>
      </c>
      <c r="B58" s="7" t="s">
        <v>124</v>
      </c>
      <c r="C58" s="7" t="s">
        <v>73</v>
      </c>
      <c r="D58" s="7" t="s">
        <v>125</v>
      </c>
      <c r="E58" s="7" t="s">
        <v>93</v>
      </c>
      <c r="F58" s="7" t="s">
        <v>94</v>
      </c>
      <c r="G58" s="7" t="s">
        <v>8</v>
      </c>
      <c r="H58" s="7" t="s">
        <v>126</v>
      </c>
      <c r="I58" s="7"/>
      <c r="J58" s="87" t="s">
        <v>127</v>
      </c>
      <c r="K58" s="87"/>
      <c r="L58" s="87"/>
      <c r="M58" s="66" t="str">
        <f>IF(OR($F58="All Tracks",$F58=SelectedTrack),"Show","Hide")</f>
        <v>Show</v>
      </c>
    </row>
    <row r="59" spans="1:13" ht="38" x14ac:dyDescent="0.2">
      <c r="A59" s="7" t="s">
        <v>59</v>
      </c>
      <c r="B59" s="7" t="s">
        <v>91</v>
      </c>
      <c r="C59" s="7" t="s">
        <v>66</v>
      </c>
      <c r="D59" s="7" t="s">
        <v>128</v>
      </c>
      <c r="E59" s="7" t="s">
        <v>93</v>
      </c>
      <c r="F59" s="7" t="s">
        <v>94</v>
      </c>
      <c r="G59" s="7" t="s">
        <v>8</v>
      </c>
      <c r="H59" s="7"/>
      <c r="I59" s="87"/>
      <c r="J59" s="87"/>
      <c r="K59" s="87"/>
      <c r="L59" s="87"/>
      <c r="M59" s="66" t="str">
        <f>IF(OR($F59="All Tracks",$F59=SelectedTrack),"Show","Hide")</f>
        <v>Show</v>
      </c>
    </row>
    <row r="60" spans="1:13" ht="57" x14ac:dyDescent="0.2">
      <c r="A60" s="7" t="s">
        <v>59</v>
      </c>
      <c r="B60" s="7" t="s">
        <v>129</v>
      </c>
      <c r="C60" s="7" t="s">
        <v>74</v>
      </c>
      <c r="D60" s="7" t="s">
        <v>130</v>
      </c>
      <c r="E60" s="7" t="s">
        <v>93</v>
      </c>
      <c r="F60" s="7" t="s">
        <v>94</v>
      </c>
      <c r="G60" s="7" t="s">
        <v>8</v>
      </c>
      <c r="H60" s="7" t="s">
        <v>131</v>
      </c>
      <c r="I60" s="7"/>
      <c r="J60" s="87" t="s">
        <v>132</v>
      </c>
      <c r="K60" s="87"/>
      <c r="L60" s="87"/>
      <c r="M60" s="66" t="str">
        <f>IF(OR($F60="All Tracks",$F60=SelectedTrack),"Show","Hide")</f>
        <v>Show</v>
      </c>
    </row>
    <row r="61" spans="1:13" ht="38" x14ac:dyDescent="0.2">
      <c r="A61" s="7" t="s">
        <v>59</v>
      </c>
      <c r="B61" s="7" t="s">
        <v>91</v>
      </c>
      <c r="C61" s="7" t="s">
        <v>70</v>
      </c>
      <c r="D61" s="7" t="s">
        <v>133</v>
      </c>
      <c r="E61" s="7" t="s">
        <v>97</v>
      </c>
      <c r="F61" s="7" t="s">
        <v>94</v>
      </c>
      <c r="G61" s="7" t="s">
        <v>8</v>
      </c>
      <c r="H61" s="7"/>
      <c r="I61" s="7"/>
      <c r="J61" s="87"/>
      <c r="K61" s="87"/>
      <c r="L61" s="87"/>
      <c r="M61" s="66" t="str">
        <f>IF(OR($F61="All Tracks",$F61=SelectedTrack),"Show","Hide")</f>
        <v>Show</v>
      </c>
    </row>
    <row r="62" spans="1:13" ht="38" x14ac:dyDescent="0.2">
      <c r="A62" s="7" t="s">
        <v>59</v>
      </c>
      <c r="B62" s="7" t="s">
        <v>91</v>
      </c>
      <c r="C62" s="7" t="s">
        <v>71</v>
      </c>
      <c r="D62" s="7" t="s">
        <v>134</v>
      </c>
      <c r="E62" s="7" t="s">
        <v>97</v>
      </c>
      <c r="F62" s="7" t="s">
        <v>94</v>
      </c>
      <c r="G62" s="7" t="s">
        <v>8</v>
      </c>
      <c r="H62" s="7"/>
      <c r="I62" s="7"/>
      <c r="J62" s="87"/>
      <c r="K62" s="87"/>
      <c r="L62" s="87"/>
      <c r="M62" s="66" t="str">
        <f>IF(OR($F62="All Tracks",$F62=SelectedTrack),"Show","Hide")</f>
        <v>Show</v>
      </c>
    </row>
    <row r="63" spans="1:13" ht="19" x14ac:dyDescent="0.2">
      <c r="A63" s="7" t="s">
        <v>59</v>
      </c>
      <c r="B63" s="7" t="s">
        <v>91</v>
      </c>
      <c r="C63" s="7" t="s">
        <v>68</v>
      </c>
      <c r="D63" s="7" t="s">
        <v>135</v>
      </c>
      <c r="E63" s="7" t="s">
        <v>97</v>
      </c>
      <c r="F63" s="7" t="s">
        <v>141</v>
      </c>
      <c r="G63" s="7" t="s">
        <v>8</v>
      </c>
      <c r="H63" s="7"/>
      <c r="I63" s="7"/>
      <c r="J63" s="87"/>
      <c r="K63" s="87"/>
      <c r="L63" s="87"/>
      <c r="M63" s="66" t="str">
        <f>IF(OR($F63="All Tracks",$F63=SelectedTrack),"Show","Hide")</f>
        <v>Hide</v>
      </c>
    </row>
    <row r="64" spans="1:13" ht="30" x14ac:dyDescent="0.2">
      <c r="A64" s="7" t="s">
        <v>59</v>
      </c>
      <c r="B64" s="7" t="s">
        <v>91</v>
      </c>
      <c r="C64" s="7" t="s">
        <v>71</v>
      </c>
      <c r="D64" s="7" t="s">
        <v>148</v>
      </c>
      <c r="E64" s="7" t="s">
        <v>97</v>
      </c>
      <c r="F64" s="7" t="s">
        <v>145</v>
      </c>
      <c r="G64" s="7" t="s">
        <v>8</v>
      </c>
      <c r="H64" s="7"/>
      <c r="I64" s="7"/>
      <c r="J64" s="87"/>
      <c r="K64" s="87"/>
      <c r="L64" s="87"/>
      <c r="M64" s="66" t="str">
        <f>IF(OR($F64="All Tracks",$F64=SelectedTrack),"Show","Hide")</f>
        <v>Hide</v>
      </c>
    </row>
    <row r="65" spans="1:13" ht="19" x14ac:dyDescent="0.2">
      <c r="A65" s="7" t="s">
        <v>59</v>
      </c>
      <c r="B65" s="7" t="s">
        <v>91</v>
      </c>
      <c r="C65" s="7" t="s">
        <v>75</v>
      </c>
      <c r="D65" s="7" t="s">
        <v>161</v>
      </c>
      <c r="E65" s="7" t="s">
        <v>97</v>
      </c>
      <c r="F65" s="7" t="s">
        <v>154</v>
      </c>
      <c r="G65" s="7" t="s">
        <v>8</v>
      </c>
      <c r="H65" s="7"/>
      <c r="I65" s="7"/>
      <c r="J65" s="87"/>
      <c r="K65" s="87"/>
      <c r="L65" s="87"/>
      <c r="M65" s="66" t="str">
        <f>IF(OR($F65="All Tracks",$F65=SelectedTrack),"Show","Hide")</f>
        <v>Hide</v>
      </c>
    </row>
    <row r="66" spans="1:13" ht="38" x14ac:dyDescent="0.2">
      <c r="A66" s="7" t="s">
        <v>59</v>
      </c>
      <c r="B66" s="7" t="s">
        <v>91</v>
      </c>
      <c r="C66" s="7" t="s">
        <v>74</v>
      </c>
      <c r="D66" s="7" t="s">
        <v>162</v>
      </c>
      <c r="E66" s="7" t="s">
        <v>93</v>
      </c>
      <c r="F66" s="7" t="s">
        <v>94</v>
      </c>
      <c r="G66" s="7" t="s">
        <v>8</v>
      </c>
      <c r="H66" s="7"/>
      <c r="I66" s="7"/>
      <c r="J66" s="87"/>
      <c r="K66" s="87"/>
      <c r="L66" s="87"/>
      <c r="M66" s="66" t="str">
        <f>IF(OR($F66="All Tracks",$F66=SelectedTrack),"Show","Hide")</f>
        <v>Show</v>
      </c>
    </row>
    <row r="67" spans="1:13" ht="38" x14ac:dyDescent="0.2">
      <c r="A67" s="7" t="s">
        <v>59</v>
      </c>
      <c r="B67" s="7" t="s">
        <v>91</v>
      </c>
      <c r="C67" s="7" t="s">
        <v>74</v>
      </c>
      <c r="D67" s="7" t="s">
        <v>163</v>
      </c>
      <c r="E67" s="7" t="s">
        <v>93</v>
      </c>
      <c r="F67" s="7" t="s">
        <v>94</v>
      </c>
      <c r="G67" s="7" t="s">
        <v>8</v>
      </c>
      <c r="H67" s="7"/>
      <c r="I67" s="7"/>
      <c r="J67" s="87"/>
      <c r="K67" s="87"/>
      <c r="L67" s="87"/>
      <c r="M67" s="66" t="str">
        <f>IF(OR($F67="All Tracks",$F67=SelectedTrack),"Show","Hide")</f>
        <v>Show</v>
      </c>
    </row>
    <row r="68" spans="1:13" ht="38" x14ac:dyDescent="0.2">
      <c r="A68" s="7" t="s">
        <v>59</v>
      </c>
      <c r="B68" s="7" t="s">
        <v>91</v>
      </c>
      <c r="C68" s="7" t="s">
        <v>74</v>
      </c>
      <c r="D68" s="7" t="s">
        <v>164</v>
      </c>
      <c r="E68" s="7" t="s">
        <v>93</v>
      </c>
      <c r="F68" s="7" t="s">
        <v>94</v>
      </c>
      <c r="G68" s="7" t="s">
        <v>8</v>
      </c>
      <c r="H68" s="7" t="s">
        <v>165</v>
      </c>
      <c r="I68" s="7"/>
      <c r="J68" s="87"/>
      <c r="K68" s="87"/>
      <c r="L68" s="87"/>
      <c r="M68" s="66" t="str">
        <f>IF(OR($F68="All Tracks",$F68=SelectedTrack),"Show","Hide")</f>
        <v>Show</v>
      </c>
    </row>
    <row r="69" spans="1:13" ht="38" x14ac:dyDescent="0.2">
      <c r="A69" s="7" t="s">
        <v>59</v>
      </c>
      <c r="B69" s="7" t="s">
        <v>91</v>
      </c>
      <c r="C69" s="7" t="s">
        <v>74</v>
      </c>
      <c r="D69" s="7" t="s">
        <v>166</v>
      </c>
      <c r="E69" s="7" t="s">
        <v>93</v>
      </c>
      <c r="F69" s="7" t="s">
        <v>94</v>
      </c>
      <c r="G69" s="7" t="s">
        <v>8</v>
      </c>
      <c r="H69" s="7" t="s">
        <v>167</v>
      </c>
      <c r="I69" s="7"/>
      <c r="J69" s="87"/>
      <c r="K69" s="87"/>
      <c r="L69" s="87"/>
      <c r="M69" s="66" t="str">
        <f>IF(OR($F69="All Tracks",$F69=SelectedTrack),"Show","Hide")</f>
        <v>Show</v>
      </c>
    </row>
    <row r="70" spans="1:13" ht="38" x14ac:dyDescent="0.2">
      <c r="A70" s="7" t="s">
        <v>59</v>
      </c>
      <c r="B70" s="7" t="s">
        <v>91</v>
      </c>
      <c r="C70" s="7" t="s">
        <v>74</v>
      </c>
      <c r="D70" s="7" t="s">
        <v>168</v>
      </c>
      <c r="E70" s="7" t="s">
        <v>93</v>
      </c>
      <c r="F70" s="7" t="s">
        <v>94</v>
      </c>
      <c r="G70" s="7" t="s">
        <v>8</v>
      </c>
      <c r="H70" s="7"/>
      <c r="I70" s="7"/>
      <c r="J70" s="87"/>
      <c r="K70" s="87"/>
      <c r="L70" s="87"/>
      <c r="M70" s="66" t="str">
        <f>IF(OR($F70="All Tracks",$F70=SelectedTrack),"Show","Hide")</f>
        <v>Show</v>
      </c>
    </row>
    <row r="71" spans="1:13" ht="38" x14ac:dyDescent="0.2">
      <c r="A71" s="7" t="s">
        <v>59</v>
      </c>
      <c r="B71" s="7" t="s">
        <v>91</v>
      </c>
      <c r="C71" s="7" t="s">
        <v>74</v>
      </c>
      <c r="D71" s="7" t="s">
        <v>169</v>
      </c>
      <c r="E71" s="7" t="s">
        <v>93</v>
      </c>
      <c r="F71" s="7" t="s">
        <v>94</v>
      </c>
      <c r="G71" s="7" t="s">
        <v>8</v>
      </c>
      <c r="H71" s="7"/>
      <c r="I71" s="7"/>
      <c r="J71" s="87"/>
      <c r="K71" s="87"/>
      <c r="L71" s="87"/>
      <c r="M71" s="66" t="str">
        <f>IF(OR($F71="All Tracks",$F71=SelectedTrack),"Show","Hide")</f>
        <v>Show</v>
      </c>
    </row>
    <row r="72" spans="1:13" ht="38" x14ac:dyDescent="0.2">
      <c r="A72" s="7" t="s">
        <v>59</v>
      </c>
      <c r="B72" s="7" t="s">
        <v>91</v>
      </c>
      <c r="C72" s="7" t="s">
        <v>74</v>
      </c>
      <c r="D72" s="7" t="s">
        <v>170</v>
      </c>
      <c r="E72" s="7" t="s">
        <v>93</v>
      </c>
      <c r="F72" s="7" t="s">
        <v>94</v>
      </c>
      <c r="G72" s="7" t="s">
        <v>8</v>
      </c>
      <c r="H72" s="7"/>
      <c r="I72" s="7"/>
      <c r="J72" s="87"/>
      <c r="K72" s="87"/>
      <c r="L72" s="87"/>
      <c r="M72" s="66" t="str">
        <f>IF(OR($F72="All Tracks",$F72=SelectedTrack),"Show","Hide")</f>
        <v>Show</v>
      </c>
    </row>
    <row r="73" spans="1:13" ht="38" x14ac:dyDescent="0.2">
      <c r="A73" s="7" t="s">
        <v>59</v>
      </c>
      <c r="B73" s="7" t="s">
        <v>91</v>
      </c>
      <c r="C73" s="7" t="s">
        <v>74</v>
      </c>
      <c r="D73" s="7" t="s">
        <v>171</v>
      </c>
      <c r="E73" s="7" t="s">
        <v>93</v>
      </c>
      <c r="F73" s="7" t="s">
        <v>94</v>
      </c>
      <c r="G73" s="7" t="s">
        <v>8</v>
      </c>
      <c r="H73" s="7"/>
      <c r="I73" s="7"/>
      <c r="J73" s="87"/>
      <c r="K73" s="87"/>
      <c r="L73" s="87"/>
      <c r="M73" s="66" t="str">
        <f>IF(OR($F73="All Tracks",$F73=SelectedTrack),"Show","Hide")</f>
        <v>Show</v>
      </c>
    </row>
    <row r="74" spans="1:13" ht="38" x14ac:dyDescent="0.2">
      <c r="A74" s="7" t="s">
        <v>59</v>
      </c>
      <c r="B74" s="7" t="s">
        <v>91</v>
      </c>
      <c r="C74" s="7" t="s">
        <v>74</v>
      </c>
      <c r="D74" s="7" t="s">
        <v>172</v>
      </c>
      <c r="E74" s="7" t="s">
        <v>93</v>
      </c>
      <c r="F74" s="7" t="s">
        <v>94</v>
      </c>
      <c r="G74" s="7" t="s">
        <v>8</v>
      </c>
      <c r="H74" s="7"/>
      <c r="I74" s="7"/>
      <c r="J74" s="87"/>
      <c r="K74" s="87"/>
      <c r="L74" s="87"/>
      <c r="M74" s="66" t="str">
        <f>IF(OR($F74="All Tracks",$F74=SelectedTrack),"Show","Hide")</f>
        <v>Show</v>
      </c>
    </row>
    <row r="75" spans="1:13" ht="38" x14ac:dyDescent="0.2">
      <c r="A75" s="7" t="s">
        <v>59</v>
      </c>
      <c r="B75" s="7" t="s">
        <v>91</v>
      </c>
      <c r="C75" s="7" t="s">
        <v>74</v>
      </c>
      <c r="D75" s="7" t="s">
        <v>173</v>
      </c>
      <c r="E75" s="7" t="s">
        <v>93</v>
      </c>
      <c r="F75" s="7" t="s">
        <v>94</v>
      </c>
      <c r="G75" s="7" t="s">
        <v>8</v>
      </c>
      <c r="H75" s="7"/>
      <c r="I75" s="7"/>
      <c r="J75" s="87"/>
      <c r="K75" s="87"/>
      <c r="L75" s="87"/>
      <c r="M75" s="66" t="str">
        <f>IF(OR($F75="All Tracks",$F75=SelectedTrack),"Show","Hide")</f>
        <v>Show</v>
      </c>
    </row>
    <row r="76" spans="1:13" ht="38" x14ac:dyDescent="0.2">
      <c r="A76" s="7" t="s">
        <v>59</v>
      </c>
      <c r="B76" s="7" t="s">
        <v>91</v>
      </c>
      <c r="C76" s="7" t="s">
        <v>74</v>
      </c>
      <c r="D76" s="7" t="s">
        <v>174</v>
      </c>
      <c r="E76" s="7" t="s">
        <v>93</v>
      </c>
      <c r="F76" s="7" t="s">
        <v>94</v>
      </c>
      <c r="G76" s="7" t="s">
        <v>8</v>
      </c>
      <c r="H76" s="7"/>
      <c r="I76" s="7"/>
      <c r="J76" s="87"/>
      <c r="K76" s="87"/>
      <c r="L76" s="87"/>
      <c r="M76" s="66" t="str">
        <f>IF(OR($F76="All Tracks",$F76=SelectedTrack),"Show","Hide")</f>
        <v>Show</v>
      </c>
    </row>
    <row r="77" spans="1:13" ht="57" x14ac:dyDescent="0.2">
      <c r="A77" s="7" t="s">
        <v>59</v>
      </c>
      <c r="B77" s="7" t="s">
        <v>91</v>
      </c>
      <c r="C77" s="7" t="s">
        <v>76</v>
      </c>
      <c r="D77" s="7" t="s">
        <v>182</v>
      </c>
      <c r="E77" s="7" t="s">
        <v>97</v>
      </c>
      <c r="F77" s="7" t="s">
        <v>94</v>
      </c>
      <c r="G77" s="7" t="s">
        <v>8</v>
      </c>
      <c r="H77" s="7"/>
      <c r="I77" s="7"/>
      <c r="J77" s="87"/>
      <c r="K77" s="87"/>
      <c r="L77" s="87"/>
      <c r="M77" s="66" t="str">
        <f>IF(OR($F77="All Tracks",$F77=SelectedTrack),"Show","Hide")</f>
        <v>Show</v>
      </c>
    </row>
  </sheetData>
  <mergeCells count="2">
    <mergeCell ref="A1:M1"/>
    <mergeCell ref="A2:M2"/>
  </mergeCells>
  <conditionalFormatting sqref="A5:L77">
    <cfRule type="expression" dxfId="7" priority="2">
      <formula>$M5="Hide"</formula>
    </cfRule>
  </conditionalFormatting>
  <conditionalFormatting sqref="G5:G77">
    <cfRule type="cellIs" dxfId="6" priority="3" operator="equal">
      <formula>"○ Not Started"</formula>
    </cfRule>
    <cfRule type="cellIs" dxfId="5" priority="4" operator="equal">
      <formula>"◐ In Progress"</formula>
    </cfRule>
    <cfRule type="cellIs" dxfId="4" priority="5" operator="equal">
      <formula>"✓ Complete"</formula>
    </cfRule>
  </conditionalFormatting>
  <pageMargins left="0.4" right="0.4" top="0.5" bottom="0.5" header="0.511811023622047" footer="0.511811023622047"/>
  <pageSetup fitToHeight="0" orientation="landscape" horizontalDpi="300" verticalDpi="300"/>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errorTitle="Please choose from the list" error="Use the dropdown arrow to pick one of the listed options." promptTitle="Target Year" prompt="Pick the year you plan to work on this item. You can change it anytime." xr:uid="{00000000-0002-0000-0200-000000000000}">
          <x14:formula1>
            <xm:f>Lists!$C$2:$C$9</xm:f>
          </x14:formula1>
          <x14:formula2>
            <xm:f>0</xm:f>
          </x14:formula2>
          <xm:sqref>A5:A77</xm:sqref>
        </x14:dataValidation>
        <x14:dataValidation type="list" allowBlank="1" showInputMessage="1" showErrorMessage="1" errorTitle="Please choose from the list" error="Use the dropdown arrow to pick one of the listed options." promptTitle="Category" prompt="Pick the category that best fits this task." xr:uid="{00000000-0002-0000-0200-000001000000}">
          <x14:formula1>
            <xm:f>Lists!$D$2:$D$13</xm:f>
          </x14:formula1>
          <x14:formula2>
            <xm:f>0</xm:f>
          </x14:formula2>
          <xm:sqref>C5:C77</xm:sqref>
        </x14:dataValidation>
        <x14:dataValidation type="list" allowBlank="1" showInputMessage="1" showErrorMessage="1" errorTitle="Please choose from the list" error="Use the dropdown arrow to pick one of the listed options." promptTitle="Priority" prompt="Required items are expected; Suggested items are optional enrichment." xr:uid="{00000000-0002-0000-0200-000002000000}">
          <x14:formula1>
            <xm:f>Lists!$E$2:$E$3</xm:f>
          </x14:formula1>
          <x14:formula2>
            <xm:f>0</xm:f>
          </x14:formula2>
          <xm:sqref>E5:E77</xm:sqref>
        </x14:dataValidation>
        <x14:dataValidation type="list" allowBlank="1" showInputMessage="1" showErrorMessage="1" errorTitle="Please choose from the list" error="Use the dropdown arrow to pick one of the listed options." promptTitle="Career Track" prompt="Choose 'All Tracks' for general requirements, or a specific track for track-only suggestions." xr:uid="{00000000-0002-0000-0200-000003000000}">
          <x14:formula1>
            <xm:f>Lists!$B$2:$B$8</xm:f>
          </x14:formula1>
          <x14:formula2>
            <xm:f>0</xm:f>
          </x14:formula2>
          <xm:sqref>F5:F77</xm:sqref>
        </x14:dataValidation>
        <x14:dataValidation type="list" allowBlank="1" showInputMessage="1" showErrorMessage="1" errorTitle="Please choose from the list" error="Use the dropdown arrow to pick one of the listed options." promptTitle="Status" prompt="Update as you make progress. This drives your Dashboard progress bars." xr:uid="{00000000-0002-0000-0200-000004000000}">
          <x14:formula1>
            <xm:f>Lists!$F$2:$F$4</xm:f>
          </x14:formula1>
          <x14:formula2>
            <xm:f>0</xm:f>
          </x14:formula2>
          <xm:sqref>G5:G77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pageSetUpPr fitToPage="1"/>
  </sheetPr>
  <dimension ref="A1:C56"/>
  <sheetViews>
    <sheetView showGridLines="0" zoomScaleNormal="100" workbookViewId="0">
      <selection activeCell="C29" sqref="C29"/>
    </sheetView>
  </sheetViews>
  <sheetFormatPr baseColWidth="10" defaultColWidth="8.6640625" defaultRowHeight="21" x14ac:dyDescent="0.25"/>
  <cols>
    <col min="1" max="1" width="12" style="71" customWidth="1"/>
    <col min="2" max="2" width="45" style="92" customWidth="1"/>
    <col min="3" max="3" width="74" style="9" customWidth="1"/>
    <col min="4" max="16384" width="8.6640625" style="9"/>
  </cols>
  <sheetData>
    <row r="1" spans="1:3" ht="33.75" customHeight="1" x14ac:dyDescent="0.25">
      <c r="A1" s="82" t="s">
        <v>183</v>
      </c>
      <c r="B1" s="82"/>
      <c r="C1" s="82"/>
    </row>
    <row r="2" spans="1:3" ht="89" customHeight="1" x14ac:dyDescent="0.25">
      <c r="A2" s="54" t="s">
        <v>184</v>
      </c>
      <c r="B2" s="54"/>
      <c r="C2" s="54"/>
    </row>
    <row r="4" spans="1:3" ht="21.75" customHeight="1" x14ac:dyDescent="0.25">
      <c r="A4" s="74" t="s">
        <v>136</v>
      </c>
      <c r="B4" s="74"/>
      <c r="C4" s="74"/>
    </row>
    <row r="5" spans="1:3" ht="70" customHeight="1" x14ac:dyDescent="0.25">
      <c r="A5" s="75" t="s">
        <v>185</v>
      </c>
      <c r="B5" s="75"/>
      <c r="C5" s="75"/>
    </row>
    <row r="6" spans="1:3" ht="31.5" customHeight="1" x14ac:dyDescent="0.25">
      <c r="A6" s="20" t="s">
        <v>54</v>
      </c>
      <c r="B6" s="89" t="s">
        <v>93</v>
      </c>
      <c r="C6" s="20" t="s">
        <v>97</v>
      </c>
    </row>
    <row r="7" spans="1:3" x14ac:dyDescent="0.25">
      <c r="A7" s="73" t="s">
        <v>55</v>
      </c>
      <c r="B7" s="90" t="s">
        <v>65</v>
      </c>
      <c r="C7" s="22" t="s">
        <v>186</v>
      </c>
    </row>
    <row r="8" spans="1:3" x14ac:dyDescent="0.25">
      <c r="A8" s="72" t="s">
        <v>56</v>
      </c>
      <c r="B8" s="91" t="s">
        <v>187</v>
      </c>
      <c r="C8" s="21" t="s">
        <v>188</v>
      </c>
    </row>
    <row r="9" spans="1:3" x14ac:dyDescent="0.25">
      <c r="A9" s="73" t="s">
        <v>57</v>
      </c>
      <c r="B9" s="90" t="s">
        <v>189</v>
      </c>
      <c r="C9" s="22" t="s">
        <v>190</v>
      </c>
    </row>
    <row r="10" spans="1:3" x14ac:dyDescent="0.25">
      <c r="A10" s="72" t="s">
        <v>58</v>
      </c>
      <c r="B10" s="91" t="s">
        <v>191</v>
      </c>
      <c r="C10" s="21" t="s">
        <v>192</v>
      </c>
    </row>
    <row r="11" spans="1:3" x14ac:dyDescent="0.25">
      <c r="A11" s="73" t="s">
        <v>59</v>
      </c>
      <c r="B11" s="90" t="s">
        <v>193</v>
      </c>
      <c r="C11" s="22" t="s">
        <v>194</v>
      </c>
    </row>
    <row r="13" spans="1:3" ht="21.75" customHeight="1" x14ac:dyDescent="0.25">
      <c r="A13" s="74" t="s">
        <v>138</v>
      </c>
      <c r="B13" s="74"/>
      <c r="C13" s="74"/>
    </row>
    <row r="14" spans="1:3" ht="88" customHeight="1" x14ac:dyDescent="0.25">
      <c r="A14" s="75" t="s">
        <v>195</v>
      </c>
      <c r="B14" s="75"/>
      <c r="C14" s="75"/>
    </row>
    <row r="15" spans="1:3" ht="31.5" customHeight="1" x14ac:dyDescent="0.25">
      <c r="A15" s="20" t="s">
        <v>54</v>
      </c>
      <c r="B15" s="89" t="s">
        <v>93</v>
      </c>
      <c r="C15" s="20" t="s">
        <v>97</v>
      </c>
    </row>
    <row r="16" spans="1:3" x14ac:dyDescent="0.25">
      <c r="A16" s="72" t="s">
        <v>55</v>
      </c>
      <c r="B16" s="91" t="s">
        <v>65</v>
      </c>
      <c r="C16" s="21" t="s">
        <v>186</v>
      </c>
    </row>
    <row r="17" spans="1:3" x14ac:dyDescent="0.25">
      <c r="A17" s="73" t="s">
        <v>56</v>
      </c>
      <c r="B17" s="90" t="s">
        <v>187</v>
      </c>
      <c r="C17" s="22" t="s">
        <v>196</v>
      </c>
    </row>
    <row r="18" spans="1:3" ht="42" x14ac:dyDescent="0.25">
      <c r="A18" s="72" t="s">
        <v>57</v>
      </c>
      <c r="B18" s="91" t="s">
        <v>197</v>
      </c>
      <c r="C18" s="21" t="s">
        <v>198</v>
      </c>
    </row>
    <row r="19" spans="1:3" x14ac:dyDescent="0.25">
      <c r="A19" s="73" t="s">
        <v>58</v>
      </c>
      <c r="B19" s="90" t="s">
        <v>199</v>
      </c>
      <c r="C19" s="22" t="s">
        <v>200</v>
      </c>
    </row>
    <row r="20" spans="1:3" x14ac:dyDescent="0.25">
      <c r="A20" s="72" t="s">
        <v>59</v>
      </c>
      <c r="B20" s="91" t="s">
        <v>193</v>
      </c>
      <c r="C20" s="21" t="s">
        <v>201</v>
      </c>
    </row>
    <row r="22" spans="1:3" ht="21.75" customHeight="1" x14ac:dyDescent="0.25">
      <c r="A22" s="74" t="s">
        <v>141</v>
      </c>
      <c r="B22" s="74"/>
      <c r="C22" s="74"/>
    </row>
    <row r="23" spans="1:3" ht="84" customHeight="1" x14ac:dyDescent="0.25">
      <c r="A23" s="75" t="s">
        <v>202</v>
      </c>
      <c r="B23" s="75"/>
      <c r="C23" s="75"/>
    </row>
    <row r="24" spans="1:3" ht="31.5" customHeight="1" x14ac:dyDescent="0.25">
      <c r="A24" s="20" t="s">
        <v>54</v>
      </c>
      <c r="B24" s="89" t="s">
        <v>93</v>
      </c>
      <c r="C24" s="20" t="s">
        <v>97</v>
      </c>
    </row>
    <row r="25" spans="1:3" x14ac:dyDescent="0.25">
      <c r="A25" s="73" t="s">
        <v>55</v>
      </c>
      <c r="B25" s="90" t="s">
        <v>65</v>
      </c>
      <c r="C25" s="22" t="s">
        <v>186</v>
      </c>
    </row>
    <row r="26" spans="1:3" x14ac:dyDescent="0.25">
      <c r="A26" s="72" t="s">
        <v>56</v>
      </c>
      <c r="B26" s="91" t="s">
        <v>187</v>
      </c>
      <c r="C26" s="21" t="s">
        <v>203</v>
      </c>
    </row>
    <row r="27" spans="1:3" x14ac:dyDescent="0.25">
      <c r="A27" s="73" t="s">
        <v>57</v>
      </c>
      <c r="B27" s="90" t="s">
        <v>189</v>
      </c>
      <c r="C27" s="22" t="s">
        <v>204</v>
      </c>
    </row>
    <row r="28" spans="1:3" x14ac:dyDescent="0.25">
      <c r="A28" s="72" t="s">
        <v>58</v>
      </c>
      <c r="B28" s="91" t="s">
        <v>199</v>
      </c>
      <c r="C28" s="21" t="s">
        <v>205</v>
      </c>
    </row>
    <row r="29" spans="1:3" x14ac:dyDescent="0.25">
      <c r="A29" s="73" t="s">
        <v>59</v>
      </c>
      <c r="B29" s="90" t="s">
        <v>206</v>
      </c>
      <c r="C29" s="22" t="s">
        <v>207</v>
      </c>
    </row>
    <row r="31" spans="1:3" ht="21.75" customHeight="1" x14ac:dyDescent="0.25">
      <c r="A31" s="74" t="s">
        <v>145</v>
      </c>
      <c r="B31" s="74"/>
      <c r="C31" s="74"/>
    </row>
    <row r="32" spans="1:3" ht="78" customHeight="1" x14ac:dyDescent="0.25">
      <c r="A32" s="75" t="s">
        <v>208</v>
      </c>
      <c r="B32" s="75"/>
      <c r="C32" s="75"/>
    </row>
    <row r="33" spans="1:3" ht="31.5" customHeight="1" x14ac:dyDescent="0.25">
      <c r="A33" s="20" t="s">
        <v>54</v>
      </c>
      <c r="B33" s="89" t="s">
        <v>93</v>
      </c>
      <c r="C33" s="20" t="s">
        <v>97</v>
      </c>
    </row>
    <row r="34" spans="1:3" x14ac:dyDescent="0.25">
      <c r="A34" s="72" t="s">
        <v>55</v>
      </c>
      <c r="B34" s="91" t="s">
        <v>65</v>
      </c>
      <c r="C34" s="21" t="s">
        <v>186</v>
      </c>
    </row>
    <row r="35" spans="1:3" x14ac:dyDescent="0.25">
      <c r="A35" s="73" t="s">
        <v>56</v>
      </c>
      <c r="B35" s="90" t="s">
        <v>187</v>
      </c>
      <c r="C35" s="22" t="s">
        <v>203</v>
      </c>
    </row>
    <row r="36" spans="1:3" ht="42" x14ac:dyDescent="0.25">
      <c r="A36" s="72" t="s">
        <v>57</v>
      </c>
      <c r="B36" s="91" t="s">
        <v>209</v>
      </c>
      <c r="C36" s="21" t="s">
        <v>210</v>
      </c>
    </row>
    <row r="37" spans="1:3" x14ac:dyDescent="0.25">
      <c r="A37" s="73" t="s">
        <v>58</v>
      </c>
      <c r="B37" s="90" t="s">
        <v>199</v>
      </c>
      <c r="C37" s="22" t="s">
        <v>211</v>
      </c>
    </row>
    <row r="38" spans="1:3" x14ac:dyDescent="0.25">
      <c r="A38" s="72" t="s">
        <v>59</v>
      </c>
      <c r="B38" s="91" t="s">
        <v>206</v>
      </c>
      <c r="C38" s="21" t="s">
        <v>212</v>
      </c>
    </row>
    <row r="40" spans="1:3" ht="21.75" customHeight="1" x14ac:dyDescent="0.25">
      <c r="A40" s="74" t="s">
        <v>150</v>
      </c>
      <c r="B40" s="74"/>
      <c r="C40" s="74"/>
    </row>
    <row r="41" spans="1:3" ht="64" customHeight="1" x14ac:dyDescent="0.25">
      <c r="A41" s="75" t="s">
        <v>213</v>
      </c>
      <c r="B41" s="75"/>
      <c r="C41" s="75"/>
    </row>
    <row r="42" spans="1:3" ht="31.5" customHeight="1" x14ac:dyDescent="0.25">
      <c r="A42" s="20" t="s">
        <v>54</v>
      </c>
      <c r="B42" s="89" t="s">
        <v>93</v>
      </c>
      <c r="C42" s="20" t="s">
        <v>97</v>
      </c>
    </row>
    <row r="43" spans="1:3" x14ac:dyDescent="0.25">
      <c r="A43" s="73" t="s">
        <v>55</v>
      </c>
      <c r="B43" s="90" t="s">
        <v>65</v>
      </c>
      <c r="C43" s="22" t="s">
        <v>186</v>
      </c>
    </row>
    <row r="44" spans="1:3" x14ac:dyDescent="0.25">
      <c r="A44" s="72" t="s">
        <v>56</v>
      </c>
      <c r="B44" s="91" t="s">
        <v>187</v>
      </c>
      <c r="C44" s="21" t="s">
        <v>214</v>
      </c>
    </row>
    <row r="45" spans="1:3" x14ac:dyDescent="0.25">
      <c r="A45" s="73" t="s">
        <v>57</v>
      </c>
      <c r="B45" s="90" t="s">
        <v>189</v>
      </c>
      <c r="C45" s="22" t="s">
        <v>215</v>
      </c>
    </row>
    <row r="46" spans="1:3" x14ac:dyDescent="0.25">
      <c r="A46" s="72" t="s">
        <v>58</v>
      </c>
      <c r="B46" s="91" t="s">
        <v>199</v>
      </c>
      <c r="C46" s="21" t="s">
        <v>216</v>
      </c>
    </row>
    <row r="47" spans="1:3" x14ac:dyDescent="0.25">
      <c r="A47" s="73" t="s">
        <v>59</v>
      </c>
      <c r="B47" s="90" t="s">
        <v>206</v>
      </c>
      <c r="C47" s="22" t="s">
        <v>217</v>
      </c>
    </row>
    <row r="49" spans="1:3" ht="21.75" customHeight="1" x14ac:dyDescent="0.25">
      <c r="A49" s="74" t="s">
        <v>154</v>
      </c>
      <c r="B49" s="74"/>
      <c r="C49" s="74"/>
    </row>
    <row r="50" spans="1:3" ht="52" customHeight="1" x14ac:dyDescent="0.25">
      <c r="A50" s="75" t="s">
        <v>218</v>
      </c>
      <c r="B50" s="75"/>
      <c r="C50" s="75"/>
    </row>
    <row r="51" spans="1:3" ht="31.5" customHeight="1" x14ac:dyDescent="0.25">
      <c r="A51" s="20" t="s">
        <v>54</v>
      </c>
      <c r="B51" s="89" t="s">
        <v>93</v>
      </c>
      <c r="C51" s="20" t="s">
        <v>97</v>
      </c>
    </row>
    <row r="52" spans="1:3" ht="63" x14ac:dyDescent="0.25">
      <c r="A52" s="72" t="s">
        <v>55</v>
      </c>
      <c r="B52" s="91" t="s">
        <v>65</v>
      </c>
      <c r="C52" s="21" t="s">
        <v>219</v>
      </c>
    </row>
    <row r="53" spans="1:3" ht="63" x14ac:dyDescent="0.25">
      <c r="A53" s="73" t="s">
        <v>56</v>
      </c>
      <c r="B53" s="90" t="s">
        <v>187</v>
      </c>
      <c r="C53" s="22" t="s">
        <v>220</v>
      </c>
    </row>
    <row r="54" spans="1:3" ht="42" x14ac:dyDescent="0.25">
      <c r="A54" s="72" t="s">
        <v>57</v>
      </c>
      <c r="B54" s="91" t="s">
        <v>189</v>
      </c>
      <c r="C54" s="21" t="s">
        <v>221</v>
      </c>
    </row>
    <row r="55" spans="1:3" ht="42" x14ac:dyDescent="0.25">
      <c r="A55" s="73" t="s">
        <v>58</v>
      </c>
      <c r="B55" s="90" t="s">
        <v>199</v>
      </c>
      <c r="C55" s="22" t="s">
        <v>222</v>
      </c>
    </row>
    <row r="56" spans="1:3" x14ac:dyDescent="0.25">
      <c r="A56" s="72" t="s">
        <v>59</v>
      </c>
      <c r="B56" s="91" t="s">
        <v>206</v>
      </c>
      <c r="C56" s="21" t="s">
        <v>223</v>
      </c>
    </row>
  </sheetData>
  <mergeCells count="14">
    <mergeCell ref="A1:C1"/>
    <mergeCell ref="A2:C2"/>
    <mergeCell ref="A4:C4"/>
    <mergeCell ref="A5:C5"/>
    <mergeCell ref="A13:C13"/>
    <mergeCell ref="A40:C40"/>
    <mergeCell ref="A41:C41"/>
    <mergeCell ref="A49:C49"/>
    <mergeCell ref="A50:C50"/>
    <mergeCell ref="A14:C14"/>
    <mergeCell ref="A22:C22"/>
    <mergeCell ref="A23:C23"/>
    <mergeCell ref="A31:C31"/>
    <mergeCell ref="A32:C32"/>
  </mergeCells>
  <pageMargins left="0.4" right="0.4" top="0.5" bottom="0.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pageSetUpPr fitToPage="1"/>
  </sheetPr>
  <dimension ref="A1:F22"/>
  <sheetViews>
    <sheetView showGridLines="0" topLeftCell="A6" zoomScaleNormal="100" workbookViewId="0">
      <selection activeCell="A16" sqref="A16"/>
    </sheetView>
  </sheetViews>
  <sheetFormatPr baseColWidth="10" defaultColWidth="8.6640625" defaultRowHeight="19" x14ac:dyDescent="0.25"/>
  <cols>
    <col min="1" max="1" width="65.5" style="4" bestFit="1" customWidth="1"/>
    <col min="2" max="2" width="38.83203125" style="4" bestFit="1" customWidth="1"/>
    <col min="3" max="3" width="23.5" style="4" bestFit="1" customWidth="1"/>
    <col min="4" max="4" width="33.6640625" style="4" bestFit="1" customWidth="1"/>
    <col min="5" max="5" width="20.5" style="4" bestFit="1" customWidth="1"/>
    <col min="6" max="6" width="55.1640625" style="4" bestFit="1" customWidth="1"/>
    <col min="7" max="16384" width="8.6640625" style="4"/>
  </cols>
  <sheetData>
    <row r="1" spans="1:6" ht="33.75" customHeight="1" x14ac:dyDescent="0.25">
      <c r="A1" s="82" t="s">
        <v>531</v>
      </c>
      <c r="B1" s="82"/>
      <c r="C1" s="82"/>
      <c r="D1" s="82"/>
      <c r="E1" s="82"/>
      <c r="F1" s="82"/>
    </row>
    <row r="2" spans="1:6" ht="86" customHeight="1" x14ac:dyDescent="0.25">
      <c r="A2" s="96" t="s">
        <v>532</v>
      </c>
      <c r="B2" s="96"/>
      <c r="C2" s="96"/>
      <c r="D2" s="96"/>
      <c r="E2" s="96"/>
      <c r="F2" s="96"/>
    </row>
    <row r="3" spans="1:6" ht="20" thickBot="1" x14ac:dyDescent="0.3"/>
    <row r="4" spans="1:6" ht="39.75" customHeight="1" x14ac:dyDescent="0.25">
      <c r="A4" s="97" t="s">
        <v>533</v>
      </c>
      <c r="B4" s="98"/>
      <c r="C4" s="98"/>
      <c r="D4" s="98"/>
      <c r="E4" s="98"/>
      <c r="F4" s="99"/>
    </row>
    <row r="5" spans="1:6" ht="49.5" customHeight="1" x14ac:dyDescent="0.25">
      <c r="A5" s="100" t="s">
        <v>534</v>
      </c>
      <c r="B5" s="101"/>
      <c r="C5" s="101"/>
      <c r="D5" s="101"/>
      <c r="E5" s="101"/>
      <c r="F5" s="102"/>
    </row>
    <row r="6" spans="1:6" ht="70" customHeight="1" thickBot="1" x14ac:dyDescent="0.3">
      <c r="A6" s="103" t="s">
        <v>535</v>
      </c>
      <c r="B6" s="104"/>
      <c r="C6" s="104"/>
      <c r="D6" s="104"/>
      <c r="E6" s="104"/>
      <c r="F6" s="105"/>
    </row>
    <row r="8" spans="1:6" ht="66" customHeight="1" x14ac:dyDescent="0.25">
      <c r="A8" s="5" t="s">
        <v>536</v>
      </c>
      <c r="B8" s="5" t="s">
        <v>537</v>
      </c>
    </row>
    <row r="9" spans="1:6" x14ac:dyDescent="0.25">
      <c r="A9" s="106" t="s">
        <v>538</v>
      </c>
      <c r="B9" s="57"/>
    </row>
    <row r="10" spans="1:6" x14ac:dyDescent="0.25">
      <c r="A10" s="106" t="s">
        <v>539</v>
      </c>
      <c r="B10" s="57"/>
    </row>
    <row r="11" spans="1:6" x14ac:dyDescent="0.25">
      <c r="A11" s="106" t="s">
        <v>540</v>
      </c>
      <c r="B11" s="57"/>
    </row>
    <row r="12" spans="1:6" x14ac:dyDescent="0.25">
      <c r="A12" s="106" t="s">
        <v>541</v>
      </c>
      <c r="B12" s="57"/>
    </row>
    <row r="13" spans="1:6" x14ac:dyDescent="0.25">
      <c r="A13" s="84"/>
    </row>
    <row r="15" spans="1:6" x14ac:dyDescent="0.25">
      <c r="A15" s="3" t="s">
        <v>542</v>
      </c>
    </row>
    <row r="17" spans="1:6" ht="33.75" customHeight="1" x14ac:dyDescent="0.25">
      <c r="A17" s="77" t="s">
        <v>543</v>
      </c>
      <c r="B17" s="77"/>
      <c r="C17" s="77"/>
      <c r="D17" s="77"/>
      <c r="E17" s="77"/>
      <c r="F17" s="77"/>
    </row>
    <row r="18" spans="1:6" ht="69" customHeight="1" x14ac:dyDescent="0.25">
      <c r="A18" s="5" t="s">
        <v>544</v>
      </c>
      <c r="B18" s="5" t="s">
        <v>545</v>
      </c>
      <c r="C18" s="5" t="s">
        <v>546</v>
      </c>
      <c r="D18" s="5" t="s">
        <v>547</v>
      </c>
      <c r="E18" s="5" t="s">
        <v>548</v>
      </c>
      <c r="F18" s="5" t="s">
        <v>549</v>
      </c>
    </row>
    <row r="19" spans="1:6" x14ac:dyDescent="0.25">
      <c r="A19" s="57"/>
      <c r="B19" s="106" t="s">
        <v>538</v>
      </c>
      <c r="C19" s="57"/>
      <c r="D19" s="57"/>
      <c r="E19" s="57"/>
      <c r="F19" s="57"/>
    </row>
    <row r="20" spans="1:6" x14ac:dyDescent="0.25">
      <c r="A20" s="57"/>
      <c r="B20" s="106" t="s">
        <v>539</v>
      </c>
      <c r="C20" s="57"/>
      <c r="D20" s="57"/>
      <c r="E20" s="57"/>
      <c r="F20" s="57"/>
    </row>
    <row r="21" spans="1:6" x14ac:dyDescent="0.25">
      <c r="A21" s="57"/>
      <c r="B21" s="106" t="s">
        <v>540</v>
      </c>
      <c r="C21" s="57"/>
      <c r="D21" s="57"/>
      <c r="E21" s="57"/>
      <c r="F21" s="57"/>
    </row>
    <row r="22" spans="1:6" x14ac:dyDescent="0.25">
      <c r="A22" s="57"/>
      <c r="B22" s="106" t="s">
        <v>541</v>
      </c>
      <c r="C22" s="57"/>
      <c r="D22" s="57"/>
      <c r="E22" s="57"/>
      <c r="F22" s="57"/>
    </row>
  </sheetData>
  <mergeCells count="6">
    <mergeCell ref="A17:F17"/>
    <mergeCell ref="A1:F1"/>
    <mergeCell ref="A2:F2"/>
    <mergeCell ref="A4:F4"/>
    <mergeCell ref="A5:F5"/>
    <mergeCell ref="A6:F6"/>
  </mergeCells>
  <pageMargins left="0.4" right="0.4" top="0.5" bottom="0.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pageSetUpPr fitToPage="1"/>
  </sheetPr>
  <dimension ref="A1:E20"/>
  <sheetViews>
    <sheetView showGridLines="0" zoomScaleNormal="100" workbookViewId="0">
      <pane ySplit="4" topLeftCell="A5" activePane="bottomLeft" state="frozen"/>
      <selection pane="bottomLeft" activeCell="E9" sqref="E9:E14"/>
    </sheetView>
  </sheetViews>
  <sheetFormatPr baseColWidth="10" defaultColWidth="8.6640625" defaultRowHeight="19" x14ac:dyDescent="0.25"/>
  <cols>
    <col min="1" max="1" width="19" style="84" customWidth="1"/>
    <col min="2" max="2" width="41.83203125" style="4" customWidth="1"/>
    <col min="3" max="3" width="38.33203125" style="4" customWidth="1"/>
    <col min="4" max="4" width="41.33203125" style="4" customWidth="1"/>
    <col min="5" max="5" width="65.83203125" style="4" customWidth="1"/>
    <col min="6" max="16384" width="8.6640625" style="4"/>
  </cols>
  <sheetData>
    <row r="1" spans="1:5" s="108" customFormat="1" ht="33.75" customHeight="1" x14ac:dyDescent="0.25">
      <c r="A1" s="82" t="s">
        <v>550</v>
      </c>
      <c r="B1" s="82"/>
      <c r="C1" s="82"/>
      <c r="D1" s="82"/>
      <c r="E1" s="82"/>
    </row>
    <row r="2" spans="1:5" ht="60" customHeight="1" x14ac:dyDescent="0.25">
      <c r="A2" s="96" t="s">
        <v>551</v>
      </c>
      <c r="B2" s="96"/>
      <c r="C2" s="96"/>
      <c r="D2" s="96"/>
      <c r="E2" s="96"/>
    </row>
    <row r="4" spans="1:5" ht="31.5" customHeight="1" x14ac:dyDescent="0.25">
      <c r="A4" s="5" t="s">
        <v>552</v>
      </c>
      <c r="B4" s="5" t="s">
        <v>553</v>
      </c>
      <c r="C4" s="5" t="s">
        <v>554</v>
      </c>
      <c r="D4" s="5" t="s">
        <v>555</v>
      </c>
      <c r="E4" s="5" t="s">
        <v>556</v>
      </c>
    </row>
    <row r="5" spans="1:5" x14ac:dyDescent="0.25">
      <c r="A5" s="85" t="s">
        <v>557</v>
      </c>
      <c r="B5" s="87" t="s">
        <v>558</v>
      </c>
      <c r="C5" s="87" t="s">
        <v>558</v>
      </c>
      <c r="D5" s="87" t="s">
        <v>558</v>
      </c>
      <c r="E5" s="87" t="s">
        <v>558</v>
      </c>
    </row>
    <row r="6" spans="1:5" x14ac:dyDescent="0.25">
      <c r="A6" s="86" t="s">
        <v>559</v>
      </c>
      <c r="B6" s="87" t="s">
        <v>558</v>
      </c>
      <c r="C6" s="87" t="s">
        <v>558</v>
      </c>
      <c r="D6" s="87" t="s">
        <v>558</v>
      </c>
      <c r="E6" s="87" t="s">
        <v>558</v>
      </c>
    </row>
    <row r="7" spans="1:5" x14ac:dyDescent="0.25">
      <c r="A7" s="85" t="s">
        <v>560</v>
      </c>
      <c r="B7" s="87" t="s">
        <v>558</v>
      </c>
      <c r="C7" s="87" t="s">
        <v>558</v>
      </c>
      <c r="D7" s="87" t="s">
        <v>558</v>
      </c>
      <c r="E7" s="87" t="s">
        <v>558</v>
      </c>
    </row>
    <row r="8" spans="1:5" x14ac:dyDescent="0.25">
      <c r="A8" s="86" t="s">
        <v>561</v>
      </c>
      <c r="B8" s="87" t="s">
        <v>558</v>
      </c>
      <c r="C8" s="87" t="s">
        <v>558</v>
      </c>
      <c r="D8" s="87" t="s">
        <v>558</v>
      </c>
      <c r="E8" s="87" t="s">
        <v>558</v>
      </c>
    </row>
    <row r="9" spans="1:5" ht="95" x14ac:dyDescent="0.25">
      <c r="A9" s="85" t="s">
        <v>562</v>
      </c>
      <c r="B9" s="109" t="s">
        <v>563</v>
      </c>
      <c r="C9" s="7" t="s">
        <v>564</v>
      </c>
      <c r="D9" s="7" t="s">
        <v>564</v>
      </c>
      <c r="E9" s="109" t="s">
        <v>565</v>
      </c>
    </row>
    <row r="10" spans="1:5" x14ac:dyDescent="0.25">
      <c r="A10" s="86" t="s">
        <v>566</v>
      </c>
      <c r="B10" s="87" t="s">
        <v>558</v>
      </c>
      <c r="C10" s="6" t="s">
        <v>564</v>
      </c>
      <c r="D10" s="6" t="s">
        <v>564</v>
      </c>
      <c r="E10" s="110" t="s">
        <v>567</v>
      </c>
    </row>
    <row r="11" spans="1:5" x14ac:dyDescent="0.25">
      <c r="A11" s="85" t="s">
        <v>568</v>
      </c>
      <c r="B11" s="87" t="s">
        <v>558</v>
      </c>
      <c r="C11" s="7" t="s">
        <v>564</v>
      </c>
      <c r="D11" s="7" t="s">
        <v>564</v>
      </c>
      <c r="E11" s="109" t="s">
        <v>569</v>
      </c>
    </row>
    <row r="12" spans="1:5" x14ac:dyDescent="0.25">
      <c r="A12" s="86" t="s">
        <v>570</v>
      </c>
      <c r="B12" s="87" t="s">
        <v>558</v>
      </c>
      <c r="C12" s="6" t="s">
        <v>564</v>
      </c>
      <c r="D12" s="6" t="s">
        <v>564</v>
      </c>
      <c r="E12" s="110" t="s">
        <v>191</v>
      </c>
    </row>
    <row r="13" spans="1:5" x14ac:dyDescent="0.25">
      <c r="A13" s="85" t="s">
        <v>571</v>
      </c>
      <c r="B13" s="87" t="s">
        <v>558</v>
      </c>
      <c r="C13" s="7" t="s">
        <v>564</v>
      </c>
      <c r="D13" s="7" t="s">
        <v>564</v>
      </c>
      <c r="E13" s="109" t="s">
        <v>572</v>
      </c>
    </row>
    <row r="14" spans="1:5" x14ac:dyDescent="0.25">
      <c r="A14" s="86" t="s">
        <v>573</v>
      </c>
      <c r="B14" s="87" t="s">
        <v>558</v>
      </c>
      <c r="C14" s="6" t="s">
        <v>564</v>
      </c>
      <c r="D14" s="6" t="s">
        <v>564</v>
      </c>
      <c r="E14" s="110" t="s">
        <v>574</v>
      </c>
    </row>
    <row r="15" spans="1:5" x14ac:dyDescent="0.25">
      <c r="A15" s="106" t="s">
        <v>575</v>
      </c>
      <c r="B15" s="57"/>
      <c r="C15" s="57"/>
      <c r="D15" s="57"/>
      <c r="E15" s="57"/>
    </row>
    <row r="16" spans="1:5" x14ac:dyDescent="0.25">
      <c r="A16" s="106" t="s">
        <v>576</v>
      </c>
      <c r="B16" s="57"/>
      <c r="C16" s="57"/>
      <c r="D16" s="57"/>
      <c r="E16" s="57"/>
    </row>
    <row r="17" spans="1:5" x14ac:dyDescent="0.25">
      <c r="A17" s="106" t="s">
        <v>577</v>
      </c>
      <c r="B17" s="57"/>
      <c r="C17" s="57"/>
      <c r="D17" s="57"/>
      <c r="E17" s="57"/>
    </row>
    <row r="18" spans="1:5" x14ac:dyDescent="0.25">
      <c r="A18" s="106" t="s">
        <v>578</v>
      </c>
      <c r="B18" s="57"/>
      <c r="C18" s="57"/>
      <c r="D18" s="57"/>
      <c r="E18" s="57"/>
    </row>
    <row r="19" spans="1:5" x14ac:dyDescent="0.25">
      <c r="A19" s="106" t="s">
        <v>579</v>
      </c>
      <c r="B19" s="57"/>
      <c r="C19" s="57"/>
      <c r="D19" s="57"/>
      <c r="E19" s="57"/>
    </row>
    <row r="20" spans="1:5" x14ac:dyDescent="0.25">
      <c r="A20" s="106" t="s">
        <v>580</v>
      </c>
      <c r="B20" s="57"/>
      <c r="C20" s="57"/>
      <c r="D20" s="57"/>
      <c r="E20" s="57"/>
    </row>
  </sheetData>
  <mergeCells count="2">
    <mergeCell ref="A1:E1"/>
    <mergeCell ref="A2:E2"/>
  </mergeCells>
  <pageMargins left="0.4" right="0.4" top="0.5" bottom="0.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pageSetUpPr fitToPage="1"/>
  </sheetPr>
  <dimension ref="A1:G9"/>
  <sheetViews>
    <sheetView showGridLines="0" zoomScaleNormal="100" workbookViewId="0">
      <pane ySplit="4" topLeftCell="A5" activePane="bottomLeft" state="frozen"/>
      <selection pane="bottomLeft" activeCell="B4" sqref="B4"/>
    </sheetView>
  </sheetViews>
  <sheetFormatPr baseColWidth="10" defaultColWidth="8.6640625" defaultRowHeight="19" x14ac:dyDescent="0.25"/>
  <cols>
    <col min="1" max="1" width="10" style="84" customWidth="1"/>
    <col min="2" max="6" width="22" style="4" customWidth="1"/>
    <col min="7" max="7" width="32" style="4" customWidth="1"/>
    <col min="8" max="16384" width="8.6640625" style="4"/>
  </cols>
  <sheetData>
    <row r="1" spans="1:7" s="107" customFormat="1" ht="33.75" customHeight="1" x14ac:dyDescent="0.25">
      <c r="A1" s="70" t="s">
        <v>581</v>
      </c>
      <c r="B1" s="70"/>
      <c r="C1" s="70"/>
      <c r="D1" s="70"/>
      <c r="E1" s="70"/>
      <c r="F1" s="70"/>
      <c r="G1" s="70"/>
    </row>
    <row r="2" spans="1:7" ht="59" customHeight="1" x14ac:dyDescent="0.25">
      <c r="A2" s="55" t="s">
        <v>680</v>
      </c>
      <c r="B2" s="55"/>
      <c r="C2" s="55"/>
      <c r="D2" s="55"/>
      <c r="E2" s="55"/>
      <c r="F2" s="55"/>
      <c r="G2" s="55"/>
    </row>
    <row r="4" spans="1:7" ht="31.5" customHeight="1" x14ac:dyDescent="0.25">
      <c r="A4" s="5" t="s">
        <v>54</v>
      </c>
      <c r="B4" s="5" t="s">
        <v>582</v>
      </c>
      <c r="C4" s="5" t="s">
        <v>583</v>
      </c>
      <c r="D4" s="5" t="s">
        <v>584</v>
      </c>
      <c r="E4" s="5" t="s">
        <v>585</v>
      </c>
      <c r="F4" s="5" t="s">
        <v>586</v>
      </c>
      <c r="G4" s="5" t="s">
        <v>587</v>
      </c>
    </row>
    <row r="5" spans="1:7" ht="57" x14ac:dyDescent="0.25">
      <c r="A5" s="85" t="s">
        <v>55</v>
      </c>
      <c r="B5" s="111" t="s">
        <v>588</v>
      </c>
      <c r="C5" s="111" t="s">
        <v>589</v>
      </c>
      <c r="D5" s="111" t="s">
        <v>590</v>
      </c>
      <c r="E5" s="111" t="s">
        <v>591</v>
      </c>
      <c r="F5" s="111" t="s">
        <v>592</v>
      </c>
      <c r="G5" s="111" t="s">
        <v>102</v>
      </c>
    </row>
    <row r="6" spans="1:7" ht="57" x14ac:dyDescent="0.25">
      <c r="A6" s="86" t="s">
        <v>56</v>
      </c>
      <c r="B6" s="112" t="s">
        <v>187</v>
      </c>
      <c r="C6" s="112" t="s">
        <v>593</v>
      </c>
      <c r="D6" s="112" t="s">
        <v>594</v>
      </c>
      <c r="E6" s="112" t="s">
        <v>595</v>
      </c>
      <c r="F6" s="112" t="s">
        <v>596</v>
      </c>
      <c r="G6" s="112" t="s">
        <v>102</v>
      </c>
    </row>
    <row r="7" spans="1:7" ht="76" x14ac:dyDescent="0.25">
      <c r="A7" s="85" t="s">
        <v>57</v>
      </c>
      <c r="B7" s="111" t="s">
        <v>597</v>
      </c>
      <c r="C7" s="111" t="s">
        <v>598</v>
      </c>
      <c r="D7" s="111" t="s">
        <v>599</v>
      </c>
      <c r="E7" s="111" t="s">
        <v>600</v>
      </c>
      <c r="F7" s="111" t="s">
        <v>601</v>
      </c>
      <c r="G7" s="111" t="s">
        <v>602</v>
      </c>
    </row>
    <row r="8" spans="1:7" ht="38" x14ac:dyDescent="0.25">
      <c r="A8" s="86" t="s">
        <v>58</v>
      </c>
      <c r="B8" s="112" t="s">
        <v>603</v>
      </c>
      <c r="C8" s="112" t="s">
        <v>601</v>
      </c>
      <c r="D8" s="112" t="s">
        <v>604</v>
      </c>
      <c r="E8" s="112" t="s">
        <v>605</v>
      </c>
      <c r="F8" s="112" t="s">
        <v>606</v>
      </c>
      <c r="G8" s="112" t="s">
        <v>127</v>
      </c>
    </row>
    <row r="9" spans="1:7" ht="57" x14ac:dyDescent="0.25">
      <c r="A9" s="85" t="s">
        <v>59</v>
      </c>
      <c r="B9" s="111" t="s">
        <v>607</v>
      </c>
      <c r="C9" s="111" t="s">
        <v>608</v>
      </c>
      <c r="D9" s="111" t="s">
        <v>609</v>
      </c>
      <c r="E9" s="111" t="s">
        <v>610</v>
      </c>
      <c r="F9" s="111" t="s">
        <v>611</v>
      </c>
      <c r="G9" s="111" t="s">
        <v>132</v>
      </c>
    </row>
  </sheetData>
  <mergeCells count="2">
    <mergeCell ref="A1:G1"/>
    <mergeCell ref="A2:G2"/>
  </mergeCells>
  <pageMargins left="0.4" right="0.4" top="0.5" bottom="0.5"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pageSetUpPr fitToPage="1"/>
  </sheetPr>
  <dimension ref="A1:E13"/>
  <sheetViews>
    <sheetView showGridLines="0" zoomScaleNormal="100" workbookViewId="0">
      <pane ySplit="5" topLeftCell="A6" activePane="bottomLeft" state="frozen"/>
      <selection pane="bottomLeft" activeCell="D9" sqref="D9"/>
    </sheetView>
  </sheetViews>
  <sheetFormatPr baseColWidth="10" defaultColWidth="8.6640625" defaultRowHeight="15" x14ac:dyDescent="0.2"/>
  <cols>
    <col min="1" max="1" width="10" customWidth="1"/>
    <col min="2" max="2" width="42.1640625" customWidth="1"/>
    <col min="3" max="3" width="43.5" customWidth="1"/>
    <col min="4" max="4" width="43.1640625" customWidth="1"/>
    <col min="5" max="5" width="43.33203125" customWidth="1"/>
  </cols>
  <sheetData>
    <row r="1" spans="1:5" s="42" customFormat="1" ht="33.75" customHeight="1" x14ac:dyDescent="0.2">
      <c r="A1" s="29" t="s">
        <v>32</v>
      </c>
      <c r="B1" s="29"/>
      <c r="C1" s="29"/>
      <c r="D1" s="29"/>
      <c r="E1" s="29"/>
    </row>
    <row r="2" spans="1:5" ht="73.5" customHeight="1" x14ac:dyDescent="0.2">
      <c r="A2" s="28" t="s">
        <v>681</v>
      </c>
      <c r="B2" s="28"/>
      <c r="C2" s="28"/>
      <c r="D2" s="28"/>
      <c r="E2" s="28"/>
    </row>
    <row r="4" spans="1:5" ht="39.75" customHeight="1" x14ac:dyDescent="0.2">
      <c r="A4" s="88" t="s">
        <v>54</v>
      </c>
      <c r="B4" s="88" t="s">
        <v>612</v>
      </c>
      <c r="C4" s="88" t="s">
        <v>613</v>
      </c>
      <c r="D4" s="88" t="s">
        <v>614</v>
      </c>
      <c r="E4" s="88" t="s">
        <v>615</v>
      </c>
    </row>
    <row r="5" spans="1:5" ht="96" customHeight="1" x14ac:dyDescent="0.2">
      <c r="A5" s="113"/>
      <c r="B5" s="130" t="s">
        <v>616</v>
      </c>
      <c r="C5" s="130" t="s">
        <v>617</v>
      </c>
      <c r="D5" s="130" t="s">
        <v>618</v>
      </c>
      <c r="E5" s="130" t="s">
        <v>619</v>
      </c>
    </row>
    <row r="6" spans="1:5" ht="69.75" customHeight="1" x14ac:dyDescent="0.2">
      <c r="A6" s="114" t="s">
        <v>55</v>
      </c>
      <c r="B6" s="115"/>
      <c r="C6" s="115"/>
      <c r="D6" s="115"/>
      <c r="E6" s="115"/>
    </row>
    <row r="7" spans="1:5" ht="69.75" customHeight="1" x14ac:dyDescent="0.2">
      <c r="A7" s="114" t="s">
        <v>56</v>
      </c>
      <c r="B7" s="115"/>
      <c r="C7" s="115"/>
      <c r="D7" s="115"/>
      <c r="E7" s="115"/>
    </row>
    <row r="8" spans="1:5" ht="69.75" customHeight="1" x14ac:dyDescent="0.2">
      <c r="A8" s="114" t="s">
        <v>57</v>
      </c>
      <c r="B8" s="115"/>
      <c r="C8" s="115"/>
      <c r="D8" s="115"/>
      <c r="E8" s="115"/>
    </row>
    <row r="9" spans="1:5" ht="69.75" customHeight="1" x14ac:dyDescent="0.2">
      <c r="A9" s="114" t="s">
        <v>58</v>
      </c>
      <c r="B9" s="115"/>
      <c r="C9" s="115"/>
      <c r="D9" s="115"/>
      <c r="E9" s="115"/>
    </row>
    <row r="10" spans="1:5" ht="69.75" customHeight="1" x14ac:dyDescent="0.2">
      <c r="A10" s="114" t="s">
        <v>59</v>
      </c>
      <c r="B10" s="115"/>
      <c r="C10" s="115"/>
      <c r="D10" s="115"/>
      <c r="E10" s="115"/>
    </row>
    <row r="11" spans="1:5" ht="69.75" customHeight="1" x14ac:dyDescent="0.2">
      <c r="A11" s="114" t="s">
        <v>60</v>
      </c>
      <c r="B11" s="115"/>
      <c r="C11" s="115"/>
      <c r="D11" s="115"/>
      <c r="E11" s="115"/>
    </row>
    <row r="12" spans="1:5" ht="69.75" customHeight="1" x14ac:dyDescent="0.2">
      <c r="A12" s="114" t="s">
        <v>61</v>
      </c>
      <c r="B12" s="115"/>
      <c r="C12" s="115"/>
      <c r="D12" s="115"/>
      <c r="E12" s="115"/>
    </row>
    <row r="13" spans="1:5" ht="69.75" customHeight="1" x14ac:dyDescent="0.2">
      <c r="A13" s="114" t="s">
        <v>62</v>
      </c>
      <c r="B13" s="115"/>
      <c r="C13" s="115"/>
      <c r="D13" s="115"/>
      <c r="E13" s="115"/>
    </row>
  </sheetData>
  <mergeCells count="2">
    <mergeCell ref="A1:E1"/>
    <mergeCell ref="A2:E2"/>
  </mergeCells>
  <pageMargins left="0.4" right="0.4" top="0.5" bottom="0.5"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pageSetUpPr fitToPage="1"/>
  </sheetPr>
  <dimension ref="A1:C15"/>
  <sheetViews>
    <sheetView showGridLines="0" zoomScaleNormal="100" workbookViewId="0">
      <selection activeCell="L6" sqref="L6"/>
    </sheetView>
  </sheetViews>
  <sheetFormatPr baseColWidth="10" defaultColWidth="8.6640625" defaultRowHeight="20" x14ac:dyDescent="0.25"/>
  <cols>
    <col min="1" max="1" width="42" style="116" customWidth="1"/>
    <col min="2" max="3" width="79.5" style="116" customWidth="1"/>
    <col min="4" max="16384" width="8.6640625" style="116"/>
  </cols>
  <sheetData>
    <row r="1" spans="1:3" ht="33.75" customHeight="1" x14ac:dyDescent="0.25">
      <c r="A1" s="121" t="s">
        <v>620</v>
      </c>
      <c r="B1" s="121"/>
      <c r="C1" s="122"/>
    </row>
    <row r="2" spans="1:3" ht="96" customHeight="1" x14ac:dyDescent="0.25">
      <c r="A2" s="117" t="s">
        <v>621</v>
      </c>
      <c r="B2" s="117"/>
      <c r="C2" s="123"/>
    </row>
    <row r="4" spans="1:3" ht="31.5" customHeight="1" x14ac:dyDescent="0.25">
      <c r="A4" s="118" t="s">
        <v>622</v>
      </c>
      <c r="B4" s="118" t="s">
        <v>623</v>
      </c>
      <c r="C4" s="124" t="s">
        <v>84</v>
      </c>
    </row>
    <row r="5" spans="1:3" x14ac:dyDescent="0.25">
      <c r="A5" s="125" t="s">
        <v>624</v>
      </c>
      <c r="B5" s="119"/>
      <c r="C5" s="7" t="s">
        <v>8</v>
      </c>
    </row>
    <row r="6" spans="1:3" x14ac:dyDescent="0.25">
      <c r="A6" s="126" t="s">
        <v>625</v>
      </c>
      <c r="B6" s="120"/>
      <c r="C6" s="7" t="s">
        <v>8</v>
      </c>
    </row>
    <row r="7" spans="1:3" x14ac:dyDescent="0.25">
      <c r="A7" s="125" t="s">
        <v>626</v>
      </c>
      <c r="B7" s="119" t="s">
        <v>627</v>
      </c>
      <c r="C7" s="7" t="s">
        <v>8</v>
      </c>
    </row>
    <row r="8" spans="1:3" x14ac:dyDescent="0.25">
      <c r="A8" s="126" t="s">
        <v>628</v>
      </c>
      <c r="B8" s="120" t="s">
        <v>629</v>
      </c>
      <c r="C8" s="7" t="s">
        <v>8</v>
      </c>
    </row>
    <row r="9" spans="1:3" x14ac:dyDescent="0.25">
      <c r="A9" s="125" t="s">
        <v>630</v>
      </c>
      <c r="B9" s="119" t="s">
        <v>631</v>
      </c>
      <c r="C9" s="7" t="s">
        <v>8</v>
      </c>
    </row>
    <row r="10" spans="1:3" x14ac:dyDescent="0.25">
      <c r="A10" s="126" t="s">
        <v>632</v>
      </c>
      <c r="B10" s="120" t="s">
        <v>631</v>
      </c>
      <c r="C10" s="7" t="s">
        <v>8</v>
      </c>
    </row>
    <row r="11" spans="1:3" x14ac:dyDescent="0.25">
      <c r="A11" s="125" t="s">
        <v>633</v>
      </c>
      <c r="B11" s="119"/>
      <c r="C11" s="7" t="s">
        <v>8</v>
      </c>
    </row>
    <row r="12" spans="1:3" x14ac:dyDescent="0.25">
      <c r="A12" s="126" t="s">
        <v>634</v>
      </c>
      <c r="B12" s="120"/>
      <c r="C12" s="7" t="s">
        <v>8</v>
      </c>
    </row>
    <row r="13" spans="1:3" x14ac:dyDescent="0.25">
      <c r="A13" s="125" t="s">
        <v>635</v>
      </c>
      <c r="B13" s="119"/>
      <c r="C13" s="7" t="s">
        <v>8</v>
      </c>
    </row>
    <row r="14" spans="1:3" x14ac:dyDescent="0.25">
      <c r="A14" s="126" t="s">
        <v>636</v>
      </c>
      <c r="B14" s="120"/>
      <c r="C14" s="7" t="s">
        <v>8</v>
      </c>
    </row>
    <row r="15" spans="1:3" x14ac:dyDescent="0.25">
      <c r="A15" s="125" t="s">
        <v>637</v>
      </c>
      <c r="B15" s="119"/>
      <c r="C15" s="7" t="s">
        <v>8</v>
      </c>
    </row>
  </sheetData>
  <mergeCells count="2">
    <mergeCell ref="A1:B1"/>
    <mergeCell ref="A2:B2"/>
  </mergeCells>
  <conditionalFormatting sqref="C5:C15">
    <cfRule type="expression" dxfId="3" priority="1">
      <formula>$M5="Hide"</formula>
    </cfRule>
  </conditionalFormatting>
  <conditionalFormatting sqref="C5:C15">
    <cfRule type="cellIs" dxfId="2" priority="2" operator="equal">
      <formula>"○ Not Started"</formula>
    </cfRule>
    <cfRule type="cellIs" dxfId="1" priority="3" operator="equal">
      <formula>"◐ In Progress"</formula>
    </cfRule>
    <cfRule type="cellIs" dxfId="0" priority="4" operator="equal">
      <formula>"✓ Complete"</formula>
    </cfRule>
  </conditionalFormatting>
  <pageMargins left="0.4" right="0.4" top="0.5" bottom="0.5"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errorTitle="Please choose from the list" error="Use the dropdown arrow to pick one of the listed options." promptTitle="Status" prompt="Update as you make progress. This drives your Dashboard progress bars." xr:uid="{AF8DEE5E-F7C9-404F-83F9-22E92A04D2A3}">
          <x14:formula1>
            <xm:f>Lists!$F$2:$F$4</xm:f>
          </x14:formula1>
          <x14:formula2>
            <xm:f>0</xm:f>
          </x14:formula2>
          <xm:sqref>C5:C15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pageSetUpPr fitToPage="1"/>
  </sheetPr>
  <dimension ref="A1:F36"/>
  <sheetViews>
    <sheetView showGridLines="0" zoomScaleNormal="100" workbookViewId="0">
      <selection activeCell="A3" sqref="A3"/>
    </sheetView>
  </sheetViews>
  <sheetFormatPr baseColWidth="10" defaultColWidth="8.6640625" defaultRowHeight="19" x14ac:dyDescent="0.25"/>
  <cols>
    <col min="1" max="1" width="14" style="4" customWidth="1"/>
    <col min="2" max="2" width="26.5" style="4" customWidth="1"/>
    <col min="3" max="3" width="36.33203125" style="4" customWidth="1"/>
    <col min="4" max="5" width="43.33203125" style="4" customWidth="1"/>
    <col min="6" max="6" width="36" style="4" customWidth="1"/>
    <col min="7" max="16384" width="8.6640625" style="4"/>
  </cols>
  <sheetData>
    <row r="1" spans="1:6" s="107" customFormat="1" ht="33.75" customHeight="1" x14ac:dyDescent="0.25">
      <c r="A1" s="70" t="s">
        <v>36</v>
      </c>
      <c r="B1" s="70"/>
      <c r="C1" s="70"/>
      <c r="D1" s="70"/>
      <c r="E1" s="70"/>
      <c r="F1" s="70"/>
    </row>
    <row r="2" spans="1:6" ht="73" customHeight="1" x14ac:dyDescent="0.25">
      <c r="A2" s="55" t="s">
        <v>684</v>
      </c>
      <c r="B2" s="55"/>
      <c r="C2" s="55"/>
      <c r="D2" s="55"/>
      <c r="E2" s="55"/>
      <c r="F2" s="55"/>
    </row>
    <row r="4" spans="1:6" x14ac:dyDescent="0.25">
      <c r="A4" s="128" t="s">
        <v>638</v>
      </c>
    </row>
    <row r="5" spans="1:6" ht="75" customHeight="1" x14ac:dyDescent="0.25">
      <c r="A5" s="127" t="s">
        <v>683</v>
      </c>
      <c r="B5" s="127"/>
      <c r="C5" s="127"/>
      <c r="D5" s="127"/>
      <c r="E5" s="127"/>
      <c r="F5" s="127"/>
    </row>
    <row r="6" spans="1:6" ht="31.5" customHeight="1" x14ac:dyDescent="0.25">
      <c r="A6" s="5" t="s">
        <v>639</v>
      </c>
      <c r="B6" s="5" t="s">
        <v>64</v>
      </c>
      <c r="C6" s="5" t="s">
        <v>640</v>
      </c>
      <c r="D6" s="5" t="s">
        <v>641</v>
      </c>
      <c r="E6" s="5" t="s">
        <v>642</v>
      </c>
      <c r="F6" s="5" t="s">
        <v>643</v>
      </c>
    </row>
    <row r="7" spans="1:6" x14ac:dyDescent="0.25">
      <c r="A7" s="87"/>
      <c r="B7" s="87"/>
      <c r="C7" s="87"/>
      <c r="D7" s="87"/>
      <c r="E7" s="87"/>
      <c r="F7" s="87"/>
    </row>
    <row r="8" spans="1:6" x14ac:dyDescent="0.25">
      <c r="A8" s="87"/>
      <c r="B8" s="87"/>
      <c r="C8" s="87"/>
      <c r="D8" s="87"/>
      <c r="E8" s="87"/>
      <c r="F8" s="87"/>
    </row>
    <row r="9" spans="1:6" x14ac:dyDescent="0.25">
      <c r="A9" s="87"/>
      <c r="B9" s="87"/>
      <c r="C9" s="87"/>
      <c r="D9" s="87"/>
      <c r="E9" s="87"/>
      <c r="F9" s="87"/>
    </row>
    <row r="10" spans="1:6" x14ac:dyDescent="0.25">
      <c r="A10" s="87"/>
      <c r="B10" s="87"/>
      <c r="C10" s="87"/>
      <c r="D10" s="87"/>
      <c r="E10" s="87"/>
      <c r="F10" s="87"/>
    </row>
    <row r="11" spans="1:6" x14ac:dyDescent="0.25">
      <c r="A11" s="87"/>
      <c r="B11" s="87"/>
      <c r="C11" s="87"/>
      <c r="D11" s="87"/>
      <c r="E11" s="87"/>
      <c r="F11" s="87"/>
    </row>
    <row r="12" spans="1:6" x14ac:dyDescent="0.25">
      <c r="A12" s="87"/>
      <c r="B12" s="87"/>
      <c r="C12" s="87"/>
      <c r="D12" s="87"/>
      <c r="E12" s="87"/>
      <c r="F12" s="87"/>
    </row>
    <row r="13" spans="1:6" x14ac:dyDescent="0.25">
      <c r="A13" s="87"/>
      <c r="B13" s="87"/>
      <c r="C13" s="87"/>
      <c r="D13" s="87"/>
      <c r="E13" s="87"/>
      <c r="F13" s="87"/>
    </row>
    <row r="14" spans="1:6" x14ac:dyDescent="0.25">
      <c r="A14" s="87"/>
      <c r="B14" s="87"/>
      <c r="C14" s="87"/>
      <c r="D14" s="87"/>
      <c r="E14" s="87"/>
      <c r="F14" s="87"/>
    </row>
    <row r="15" spans="1:6" x14ac:dyDescent="0.25">
      <c r="A15" s="87"/>
      <c r="B15" s="87"/>
      <c r="C15" s="87"/>
      <c r="D15" s="87"/>
      <c r="E15" s="87"/>
      <c r="F15" s="87"/>
    </row>
    <row r="16" spans="1:6" x14ac:dyDescent="0.25">
      <c r="A16" s="87"/>
      <c r="B16" s="87"/>
      <c r="C16" s="87"/>
      <c r="D16" s="87"/>
      <c r="E16" s="87"/>
      <c r="F16" s="87"/>
    </row>
    <row r="17" spans="1:6" x14ac:dyDescent="0.25">
      <c r="A17" s="87"/>
      <c r="B17" s="87"/>
      <c r="C17" s="87"/>
      <c r="D17" s="87"/>
      <c r="E17" s="87"/>
      <c r="F17" s="87"/>
    </row>
    <row r="18" spans="1:6" x14ac:dyDescent="0.25">
      <c r="A18" s="87"/>
      <c r="B18" s="87"/>
      <c r="C18" s="87"/>
      <c r="D18" s="87"/>
      <c r="E18" s="87"/>
      <c r="F18" s="87"/>
    </row>
    <row r="19" spans="1:6" x14ac:dyDescent="0.25">
      <c r="A19" s="87"/>
      <c r="B19" s="87"/>
      <c r="C19" s="87"/>
      <c r="D19" s="87"/>
      <c r="E19" s="87"/>
      <c r="F19" s="87"/>
    </row>
    <row r="20" spans="1:6" x14ac:dyDescent="0.25">
      <c r="A20" s="87"/>
      <c r="B20" s="87"/>
      <c r="C20" s="87"/>
      <c r="D20" s="87"/>
      <c r="E20" s="87"/>
      <c r="F20" s="87"/>
    </row>
    <row r="23" spans="1:6" x14ac:dyDescent="0.25">
      <c r="A23" s="3" t="s">
        <v>682</v>
      </c>
    </row>
    <row r="25" spans="1:6" ht="64" customHeight="1" x14ac:dyDescent="0.25">
      <c r="A25" s="127" t="s">
        <v>644</v>
      </c>
      <c r="B25" s="127"/>
      <c r="C25" s="127"/>
      <c r="D25" s="127"/>
      <c r="E25" s="127"/>
      <c r="F25" s="127"/>
    </row>
    <row r="26" spans="1:6" ht="31.5" customHeight="1" x14ac:dyDescent="0.25">
      <c r="A26" s="5" t="s">
        <v>639</v>
      </c>
      <c r="B26" s="5" t="s">
        <v>645</v>
      </c>
      <c r="C26" s="5" t="s">
        <v>646</v>
      </c>
      <c r="D26" s="5" t="s">
        <v>227</v>
      </c>
    </row>
    <row r="27" spans="1:6" x14ac:dyDescent="0.25">
      <c r="A27" s="87"/>
      <c r="B27" s="87"/>
      <c r="C27" s="87"/>
      <c r="D27" s="87"/>
    </row>
    <row r="28" spans="1:6" x14ac:dyDescent="0.25">
      <c r="A28" s="87"/>
      <c r="B28" s="87"/>
      <c r="C28" s="87"/>
      <c r="D28" s="87"/>
    </row>
    <row r="29" spans="1:6" x14ac:dyDescent="0.25">
      <c r="A29" s="87"/>
      <c r="B29" s="87"/>
      <c r="C29" s="87"/>
      <c r="D29" s="87"/>
    </row>
    <row r="30" spans="1:6" x14ac:dyDescent="0.25">
      <c r="A30" s="87"/>
      <c r="B30" s="87"/>
      <c r="C30" s="87"/>
      <c r="D30" s="87"/>
    </row>
    <row r="31" spans="1:6" x14ac:dyDescent="0.25">
      <c r="A31" s="87"/>
      <c r="B31" s="87"/>
      <c r="C31" s="87"/>
      <c r="D31" s="87"/>
    </row>
    <row r="32" spans="1:6" x14ac:dyDescent="0.25">
      <c r="A32" s="87"/>
      <c r="B32" s="87"/>
      <c r="C32" s="87"/>
      <c r="D32" s="87"/>
    </row>
    <row r="33" spans="1:4" x14ac:dyDescent="0.25">
      <c r="A33" s="87"/>
      <c r="B33" s="87"/>
      <c r="C33" s="87"/>
      <c r="D33" s="87"/>
    </row>
    <row r="34" spans="1:4" x14ac:dyDescent="0.25">
      <c r="A34" s="87"/>
      <c r="B34" s="87"/>
      <c r="C34" s="87"/>
      <c r="D34" s="87"/>
    </row>
    <row r="35" spans="1:4" x14ac:dyDescent="0.25">
      <c r="A35" s="87"/>
      <c r="B35" s="87"/>
      <c r="C35" s="87"/>
      <c r="D35" s="87"/>
    </row>
    <row r="36" spans="1:4" x14ac:dyDescent="0.25">
      <c r="A36" s="87"/>
      <c r="B36" s="87"/>
      <c r="C36" s="87"/>
      <c r="D36" s="87"/>
    </row>
  </sheetData>
  <mergeCells count="4">
    <mergeCell ref="A1:F1"/>
    <mergeCell ref="A2:F2"/>
    <mergeCell ref="A5:F5"/>
    <mergeCell ref="A25:F25"/>
  </mergeCells>
  <pageMargins left="0.4" right="0.4" top="0.5" bottom="0.5" header="0.511811023622047" footer="0.511811023622047"/>
  <pageSetup fitToHeight="0" orientation="landscape" horizontalDpi="300" verticalDpi="300"/>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Please choose from the list" error="Use the dropdown arrow to pick one of the listed options." promptTitle="Category" prompt="What kind of decision or communication is this?" xr:uid="{00000000-0002-0000-0C00-000000000000}">
          <x14:formula1>
            <xm:f>Lists!$I$2:$I$5</xm:f>
          </x14:formula1>
          <x14:formula2>
            <xm:f>0</xm:f>
          </x14:formula2>
          <xm:sqref>B7:B20</xm:sqref>
        </x14:dataValidation>
        <x14:dataValidation type="list" allowBlank="1" showInputMessage="1" showErrorMessage="1" errorTitle="Please choose from the list" error="Use the dropdown arrow to pick one of the listed options." promptTitle="Follow-up needed?" prompt="Flag anything you still need to chase down or confirm in writing." xr:uid="{00000000-0002-0000-0C00-000001000000}">
          <x14:formula1>
            <xm:f>Lists!$J$2:$J$3</xm:f>
          </x14:formula1>
          <x14:formula2>
            <xm:f>0</xm:f>
          </x14:formula2>
          <xm:sqref>F7:F20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3"/>
  <sheetViews>
    <sheetView zoomScaleNormal="100" workbookViewId="0"/>
  </sheetViews>
  <sheetFormatPr baseColWidth="10" defaultColWidth="8.6640625" defaultRowHeight="15" x14ac:dyDescent="0.2"/>
  <cols>
    <col min="1" max="2" width="30" customWidth="1"/>
    <col min="3" max="3" width="12" customWidth="1"/>
    <col min="4" max="4" width="34" customWidth="1"/>
    <col min="5" max="5" width="12" customWidth="1"/>
    <col min="6" max="6" width="16" customWidth="1"/>
    <col min="7" max="7" width="22" customWidth="1"/>
    <col min="8" max="8" width="26" customWidth="1"/>
    <col min="9" max="9" width="18" customWidth="1"/>
    <col min="10" max="10" width="8" customWidth="1"/>
  </cols>
  <sheetData>
    <row r="1" spans="1:10" x14ac:dyDescent="0.2">
      <c r="A1" s="1" t="s">
        <v>647</v>
      </c>
      <c r="B1" s="1" t="s">
        <v>648</v>
      </c>
      <c r="C1" s="1" t="s">
        <v>649</v>
      </c>
      <c r="D1" s="1" t="s">
        <v>650</v>
      </c>
      <c r="E1" s="1" t="s">
        <v>651</v>
      </c>
      <c r="F1" s="1" t="s">
        <v>652</v>
      </c>
      <c r="G1" s="1" t="s">
        <v>653</v>
      </c>
      <c r="H1" s="1" t="s">
        <v>654</v>
      </c>
      <c r="I1" s="1" t="s">
        <v>655</v>
      </c>
      <c r="J1" s="1" t="s">
        <v>656</v>
      </c>
    </row>
    <row r="2" spans="1:10" x14ac:dyDescent="0.2">
      <c r="A2" s="2" t="s">
        <v>136</v>
      </c>
      <c r="B2" s="2" t="s">
        <v>94</v>
      </c>
      <c r="C2" s="2" t="s">
        <v>55</v>
      </c>
      <c r="D2" s="2" t="s">
        <v>65</v>
      </c>
      <c r="E2" s="2" t="s">
        <v>93</v>
      </c>
      <c r="F2" s="2" t="s">
        <v>8</v>
      </c>
      <c r="G2" s="2" t="s">
        <v>657</v>
      </c>
      <c r="H2" s="2" t="s">
        <v>658</v>
      </c>
      <c r="I2" s="2" t="s">
        <v>659</v>
      </c>
      <c r="J2" s="2" t="s">
        <v>660</v>
      </c>
    </row>
    <row r="3" spans="1:10" x14ac:dyDescent="0.2">
      <c r="A3" s="2" t="s">
        <v>138</v>
      </c>
      <c r="B3" s="2" t="s">
        <v>136</v>
      </c>
      <c r="C3" s="2" t="s">
        <v>56</v>
      </c>
      <c r="D3" s="2" t="s">
        <v>66</v>
      </c>
      <c r="E3" s="2" t="s">
        <v>97</v>
      </c>
      <c r="F3" s="2" t="s">
        <v>9</v>
      </c>
      <c r="G3" s="2" t="s">
        <v>661</v>
      </c>
      <c r="H3" s="2" t="s">
        <v>662</v>
      </c>
      <c r="I3" s="2" t="s">
        <v>75</v>
      </c>
      <c r="J3" s="2" t="s">
        <v>663</v>
      </c>
    </row>
    <row r="4" spans="1:10" x14ac:dyDescent="0.2">
      <c r="A4" s="2" t="s">
        <v>141</v>
      </c>
      <c r="B4" s="2" t="s">
        <v>138</v>
      </c>
      <c r="C4" s="2" t="s">
        <v>57</v>
      </c>
      <c r="D4" s="2" t="s">
        <v>67</v>
      </c>
      <c r="F4" s="2" t="s">
        <v>10</v>
      </c>
      <c r="G4" s="2" t="s">
        <v>664</v>
      </c>
      <c r="H4" s="2" t="s">
        <v>665</v>
      </c>
      <c r="I4" s="2" t="s">
        <v>666</v>
      </c>
    </row>
    <row r="5" spans="1:10" x14ac:dyDescent="0.2">
      <c r="A5" s="2" t="s">
        <v>145</v>
      </c>
      <c r="B5" s="2" t="s">
        <v>141</v>
      </c>
      <c r="C5" s="2" t="s">
        <v>58</v>
      </c>
      <c r="D5" s="2" t="s">
        <v>68</v>
      </c>
      <c r="G5" s="2" t="s">
        <v>667</v>
      </c>
      <c r="H5" s="2" t="s">
        <v>663</v>
      </c>
      <c r="I5" s="2" t="s">
        <v>668</v>
      </c>
    </row>
    <row r="6" spans="1:10" x14ac:dyDescent="0.2">
      <c r="A6" s="2" t="s">
        <v>150</v>
      </c>
      <c r="B6" s="2" t="s">
        <v>145</v>
      </c>
      <c r="C6" s="2" t="s">
        <v>59</v>
      </c>
      <c r="D6" s="2" t="s">
        <v>69</v>
      </c>
      <c r="G6" s="2" t="s">
        <v>669</v>
      </c>
      <c r="H6" s="2" t="s">
        <v>670</v>
      </c>
    </row>
    <row r="7" spans="1:10" x14ac:dyDescent="0.2">
      <c r="A7" s="2" t="s">
        <v>154</v>
      </c>
      <c r="B7" s="2" t="s">
        <v>150</v>
      </c>
      <c r="C7" s="2" t="s">
        <v>60</v>
      </c>
      <c r="D7" s="2" t="s">
        <v>70</v>
      </c>
      <c r="G7" s="2" t="s">
        <v>668</v>
      </c>
    </row>
    <row r="8" spans="1:10" x14ac:dyDescent="0.2">
      <c r="B8" s="2" t="s">
        <v>154</v>
      </c>
      <c r="C8" s="2" t="s">
        <v>61</v>
      </c>
      <c r="D8" s="2" t="s">
        <v>71</v>
      </c>
    </row>
    <row r="9" spans="1:10" x14ac:dyDescent="0.2">
      <c r="C9" s="2" t="s">
        <v>62</v>
      </c>
      <c r="D9" s="2" t="s">
        <v>72</v>
      </c>
    </row>
    <row r="10" spans="1:10" x14ac:dyDescent="0.2">
      <c r="D10" s="2" t="s">
        <v>73</v>
      </c>
    </row>
    <row r="11" spans="1:10" x14ac:dyDescent="0.2">
      <c r="D11" s="2" t="s">
        <v>74</v>
      </c>
    </row>
    <row r="12" spans="1:10" x14ac:dyDescent="0.2">
      <c r="D12" s="2" t="s">
        <v>75</v>
      </c>
    </row>
    <row r="13" spans="1:10" x14ac:dyDescent="0.2">
      <c r="D13" s="2" t="s">
        <v>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Start Here</vt:lpstr>
      <vt:lpstr>Glossary</vt:lpstr>
      <vt:lpstr>Field Resources</vt:lpstr>
      <vt:lpstr>Dashboard</vt:lpstr>
      <vt:lpstr>Degree Planner</vt:lpstr>
      <vt:lpstr>Career Tracks Reference</vt:lpstr>
      <vt:lpstr>Committee &amp; Mentors</vt:lpstr>
      <vt:lpstr>Semester Planner</vt:lpstr>
      <vt:lpstr>Individual Dev Plan</vt:lpstr>
      <vt:lpstr>Identity &amp; Values Check-In</vt:lpstr>
      <vt:lpstr>Job Market Dossier</vt:lpstr>
      <vt:lpstr>Paper Trail &amp; Patterns</vt:lpstr>
      <vt:lpstr>Lists</vt:lpstr>
      <vt:lpstr>SelectedTrack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RCWS Doctoral Degree Planner</dc:title>
  <dc:subject>Accessible degree planning and progress-tracking workbook for RCWS doctoral students</dc:subject>
  <dc:creator>Gabby Wilson-Kopko</dc:creator>
  <cp:keywords>doctoral program RCWS degree planner accessibility</cp:keywords>
  <dc:description>An adaptable, ADA-friendly planning workbook for rhetoric and composition doctoral students, based on the appendix to Wilson-Kopko's article. Supports flexible pacing (traditional 5-year or extended up to 8+ years), six career tracks, and live progress tracking.</dc:description>
  <cp:lastModifiedBy>Wilson-Kopko, Gabriella</cp:lastModifiedBy>
  <cp:revision>0</cp:revision>
  <dcterms:created xsi:type="dcterms:W3CDTF">2026-09-10T15:50:50Z</dcterms:created>
  <dcterms:modified xsi:type="dcterms:W3CDTF">2026-09-17T21:27:24Z</dcterms:modified>
  <cp:category>Education planning</cp:category>
  <dc:language>en-US</dc:language>
</cp:coreProperties>
</file>